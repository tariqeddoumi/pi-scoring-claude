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LisezMoi" sheetId="1" r:id="rId1"/>
    <sheet name="Saisie" sheetId="2" r:id="rId2"/>
    <sheet name="Resultat" sheetId="3" r:id="rId3"/>
    <sheet name="Calculateurs" sheetId="4" r:id="rId4"/>
    <sheet name="Portefeuille" sheetId="5" r:id="rId5"/>
    <sheet name="Stress" sheetId="6" r:id="rId6"/>
    <sheet name="Tests" sheetId="7" r:id="rId7"/>
    <sheet name="Historique" sheetId="8" r:id="rId8"/>
    <sheet name="P_General" sheetId="9" r:id="rId9"/>
    <sheet name="P_Criteres" sheetId="10" r:id="rId10"/>
    <sheet name="P_Baremes" sheetId="11" r:id="rId11"/>
    <sheet name="P_Alertes" sheetId="12" r:id="rId12"/>
    <sheet name="P_Ajustements" sheetId="13" r:id="rId13"/>
    <sheet name="P_Referentiels" sheetId="14" r:id="rId14"/>
  </sheets>
  <definedNames>
    <definedName name="In_Calc">Saisie!$F$13:$F$92</definedName>
    <definedName name="In_Cles">Saisie!$B$13:$B$92</definedName>
    <definedName name="In_Retenue">Saisie!$G$13:$G$92</definedName>
    <definedName name="In_Saisie">Saisie!$E$13:$E$92</definedName>
    <definedName name="P_Classes">P_General!$A$27:$E$36</definedName>
    <definedName name="P_ClsCodes">P_General!$A$27:$A$36</definedName>
    <definedName name="P_Date">P_General!$B$5</definedName>
    <definedName name="P_DomCodes">P_General!$A$16:$A$23</definedName>
    <definedName name="P_DomNoms">P_General!$B$16:$B$23</definedName>
    <definedName name="P_DomPoids">P_General!$C$16:$C$23</definedName>
    <definedName name="P_DPD1">P_General!$B$45</definedName>
    <definedName name="P_DPD2">P_General!$B$46</definedName>
    <definedName name="P_DPD3">P_General!$B$47</definedName>
    <definedName name="P_ExtraKey">P_General!$B$12</definedName>
    <definedName name="P_GO">P_General!$B$7</definedName>
    <definedName name="P_GWC">P_General!$B$8</definedName>
    <definedName name="P_PDa">P_General!$B$10</definedName>
    <definedName name="P_PDb">P_General!$B$11</definedName>
    <definedName name="P_PhaseCodes">P_General!$A$40:$A$42</definedName>
    <definedName name="P_PhaseHdr">P_General!$B$39:$I$39</definedName>
    <definedName name="P_PhaseTbl">P_General!$A$40:$I$42</definedName>
    <definedName name="P_Scale">P_General!$B$6</definedName>
    <definedName name="P_SegCodes">P_Ajustements!$A$5:$A$24</definedName>
    <definedName name="P_SegTbl">P_Ajustements!$A$5:$C$24</definedName>
    <definedName name="P_Version">P_General!$B$4</definedName>
    <definedName name="P_WATCH">P_General!$B$9</definedName>
    <definedName name="P_ZoneCodes">P_Ajustements!$E$5:$E$24</definedName>
    <definedName name="P_ZoneTbl">P_Ajustements!$E$5:$G$24</definedName>
    <definedName name="R_AuthCodes">P_Referentiels!$A$6:$A$29</definedName>
    <definedName name="R_AuthTbl">P_Referentiels!$A$6:$I$29</definedName>
    <definedName name="R_FinCodes">P_Referentiels!$A$34:$A$45</definedName>
    <definedName name="R_FinTbl">P_Referentiels!$A$34:$C$45</definedName>
    <definedName name="Res_Adj">Resultat!$C$11</definedName>
    <definedName name="Res_Alertes">Resultat!$C$26</definedName>
    <definedName name="Res_ClasseInt">Resultat!$C$8</definedName>
    <definedName name="Res_Comite">Resultat!$E$27</definedName>
    <definedName name="Res_Decision">Resultat!$C$7</definedName>
    <definedName name="Res_DomCodes">Resultat!$A$32:$A$39</definedName>
    <definedName name="Res_DomScores">Resultat!$C$32:$C$39</definedName>
    <definedName name="Res_EcoScore">Resultat!$C$15</definedName>
    <definedName name="Res_GuarScore">Resultat!$C$16</definedName>
    <definedName name="Res_Incomplet">Resultat!$E$23</definedName>
    <definedName name="Res_Malus">Resultat!$C$12</definedName>
    <definedName name="Res_Manquantes">Resultat!$C$24</definedName>
    <definedName name="Res_PD">Resultat!$C$9</definedName>
    <definedName name="Res_ScoreEco">Resultat!$C$10</definedName>
    <definedName name="Res_ScoreFinal">Resultat!$C$6</definedName>
  </definedNames>
  <calcPr calcId="124519" fullCalcOnLoad="1"/>
</workbook>
</file>

<file path=xl/sharedStrings.xml><?xml version="1.0" encoding="utf-8"?>
<sst xmlns="http://schemas.openxmlformats.org/spreadsheetml/2006/main" count="1999" uniqueCount="755">
  <si>
    <t>Paramètres généraux du modèle</t>
  </si>
  <si>
    <t>Cellules bleues = paramétrables. Toute modification doit être validée (macro ValiderModele) et versionnée.</t>
  </si>
  <si>
    <t>Paramètre</t>
  </si>
  <si>
    <t>Valeur</t>
  </si>
  <si>
    <t>Version du modèle</t>
  </si>
  <si>
    <t>v4.0.0</t>
  </si>
  <si>
    <t>Publié le</t>
  </si>
  <si>
    <t>2026-09-28</t>
  </si>
  <si>
    <t>Échelle de notation des critères</t>
  </si>
  <si>
    <t>Seuil GO (score final ≥)</t>
  </si>
  <si>
    <t>Seuil GO sous conditions (≥)</t>
  </si>
  <si>
    <t>Seuil Watch list (≥)</t>
  </si>
  <si>
    <t>PD proxy — constante a</t>
  </si>
  <si>
    <t>PD proxy — coefficient b</t>
  </si>
  <si>
    <t>Clé critique additionnelle</t>
  </si>
  <si>
    <t>dpd_days</t>
  </si>
  <si>
    <t>Domaines de notation</t>
  </si>
  <si>
    <t>Code</t>
  </si>
  <si>
    <t>Nom</t>
  </si>
  <si>
    <t>Poids</t>
  </si>
  <si>
    <t>D1</t>
  </si>
  <si>
    <t>Sponsor &amp; Gouvernance</t>
  </si>
  <si>
    <t>D2</t>
  </si>
  <si>
    <t>Qualité intrinsèque du projet</t>
  </si>
  <si>
    <t>D3</t>
  </si>
  <si>
    <t>Commercial &amp; Cash-flow</t>
  </si>
  <si>
    <t>D4</t>
  </si>
  <si>
    <t>Structuration financière &amp; LGD</t>
  </si>
  <si>
    <t>Classes réglementaires (ordre de sévérité croissante)</t>
  </si>
  <si>
    <t>Libellé</t>
  </si>
  <si>
    <t>Défaut avéré</t>
  </si>
  <si>
    <t>Bloque GO</t>
  </si>
  <si>
    <t>Coefficient BAM</t>
  </si>
  <si>
    <t>SAIN</t>
  </si>
  <si>
    <t>Créance saine</t>
  </si>
  <si>
    <t>Non</t>
  </si>
  <si>
    <t>SENSIBLE</t>
  </si>
  <si>
    <t>Créance sensible (surveillance)</t>
  </si>
  <si>
    <t>PRE_DOUTEUX</t>
  </si>
  <si>
    <t>Pré-douteuse</t>
  </si>
  <si>
    <t>Oui</t>
  </si>
  <si>
    <t>DOUTEUX</t>
  </si>
  <si>
    <t>Douteuse</t>
  </si>
  <si>
    <t>COMPROMIS</t>
  </si>
  <si>
    <t>Compromise</t>
  </si>
  <si>
    <t>CTX</t>
  </si>
  <si>
    <t>Contentieux</t>
  </si>
  <si>
    <t>Grilles de pondération par phase (challenger — non adoptées)</t>
  </si>
  <si>
    <t>Phase</t>
  </si>
  <si>
    <t>PRE_DEVELOPMENT</t>
  </si>
  <si>
    <t>CONSTRUCTION</t>
  </si>
  <si>
    <t>ECOULEMENT</t>
  </si>
  <si>
    <t>Repères de retard de paiement (jours)</t>
  </si>
  <si>
    <t>Seuil pré-douteux</t>
  </si>
  <si>
    <t>Seuil douteux</t>
  </si>
  <si>
    <t>Seuil compromis</t>
  </si>
  <si>
    <t>Ajustements segment (α) et zone (β)</t>
  </si>
  <si>
    <t>S_ajusté = S_éco × (1 + α + β). Un segment ou une zone hors de ces listes est signalé, jamais assimilé à un risque neutre.</t>
  </si>
  <si>
    <t>Segment</t>
  </si>
  <si>
    <t>α</t>
  </si>
  <si>
    <t>Zone</t>
  </si>
  <si>
    <t>β</t>
  </si>
  <si>
    <t>social</t>
  </si>
  <si>
    <t>Logement social</t>
  </si>
  <si>
    <t>casa_centre</t>
  </si>
  <si>
    <t>Casablanca — centre</t>
  </si>
  <si>
    <t>intermediaire</t>
  </si>
  <si>
    <t>Logement intermédiaire</t>
  </si>
  <si>
    <t>casa_peripherie</t>
  </si>
  <si>
    <t>Casablanca — périphérie</t>
  </si>
  <si>
    <t>moyen_haut</t>
  </si>
  <si>
    <t>Moyen-haut standing</t>
  </si>
  <si>
    <t>rabat_centre</t>
  </si>
  <si>
    <t>Rabat — centre</t>
  </si>
  <si>
    <t>touristique</t>
  </si>
  <si>
    <t>Touristique / hôtelier</t>
  </si>
  <si>
    <t>rabat_peripherie</t>
  </si>
  <si>
    <t>Rabat — périphérie</t>
  </si>
  <si>
    <t>bureaux</t>
  </si>
  <si>
    <t>Bureaux</t>
  </si>
  <si>
    <t>tanger</t>
  </si>
  <si>
    <t>Tanger</t>
  </si>
  <si>
    <t>commerces</t>
  </si>
  <si>
    <t>Commerces</t>
  </si>
  <si>
    <t>marrakech</t>
  </si>
  <si>
    <t>Marrakech</t>
  </si>
  <si>
    <t>villas</t>
  </si>
  <si>
    <t>Villas</t>
  </si>
  <si>
    <t>agadir</t>
  </si>
  <si>
    <t>Agadir</t>
  </si>
  <si>
    <t>fes_oriental</t>
  </si>
  <si>
    <t>Fès / Oriental</t>
  </si>
  <si>
    <t>regions_interieures</t>
  </si>
  <si>
    <t>Régions intérieures</t>
  </si>
  <si>
    <t>Critères de notation (29 dans la v4.0.0 — jusqu'à 60 lignes)</t>
  </si>
  <si>
    <t>Ajouter un critère = compléter une ligne + ses barèmes (P_Baremes) + sa clé dans Saisie. Poids du domaine : somme = 100 %.</t>
  </si>
  <si>
    <t>Domaine</t>
  </si>
  <si>
    <t>Type</t>
  </si>
  <si>
    <t>Clé d'entrée</t>
  </si>
  <si>
    <t>Gate</t>
  </si>
  <si>
    <t>Seuil gate</t>
  </si>
  <si>
    <t>Jalon gate</t>
  </si>
  <si>
    <t>Famille</t>
  </si>
  <si>
    <t>Critique</t>
  </si>
  <si>
    <t>Unité</t>
  </si>
  <si>
    <t>D1C1</t>
  </si>
  <si>
    <t>Projets similaires livrés (5 ans)</t>
  </si>
  <si>
    <t>NUM</t>
  </si>
  <si>
    <t>promoter_completed_projects</t>
  </si>
  <si>
    <t>ECONOMIC</t>
  </si>
  <si>
    <t>ratio/%</t>
  </si>
  <si>
    <t>D1C2</t>
  </si>
  <si>
    <t>Gearing promoteur (dettes nettes / FP)</t>
  </si>
  <si>
    <t>promoter_gearing</t>
  </si>
  <si>
    <t>D1C3</t>
  </si>
  <si>
    <t>Gouvernance &amp; structure juridique</t>
  </si>
  <si>
    <t>QUAL</t>
  </si>
  <si>
    <t>governance_quality</t>
  </si>
  <si>
    <t>modalité</t>
  </si>
  <si>
    <t>D1C4</t>
  </si>
  <si>
    <t>Concentration mono-projet (CA projet / CA total)</t>
  </si>
  <si>
    <t>mono_project_concentration</t>
  </si>
  <si>
    <t>D1C5</t>
  </si>
  <si>
    <t>Typologie promoteur</t>
  </si>
  <si>
    <t>promoter_type</t>
  </si>
  <si>
    <t>D1C6</t>
  </si>
  <si>
    <t>Apport effectif (injecté / prévu)</t>
  </si>
  <si>
    <t>equity_injected_ratio</t>
  </si>
  <si>
    <t>SIGNATURE</t>
  </si>
  <si>
    <t>D2C1</t>
  </si>
  <si>
    <t>Foncier &amp; autorisations</t>
  </si>
  <si>
    <t>land_permits_status</t>
  </si>
  <si>
    <t>TIRAGE</t>
  </si>
  <si>
    <t>D2C2</t>
  </si>
  <si>
    <t>Marché &amp; positionnement</t>
  </si>
  <si>
    <t>market_positioning</t>
  </si>
  <si>
    <t>D2C3</t>
  </si>
  <si>
    <t>Complexité technique</t>
  </si>
  <si>
    <t>technical_complexity</t>
  </si>
  <si>
    <t>D2C4</t>
  </si>
  <si>
    <t>Avancement vs planning</t>
  </si>
  <si>
    <t>progress_vs_plan</t>
  </si>
  <si>
    <t>D2C5</t>
  </si>
  <si>
    <t>Litiges clients / SAV</t>
  </si>
  <si>
    <t>sav_litigation</t>
  </si>
  <si>
    <t>D2C6</t>
  </si>
  <si>
    <t>Sensibilité macro / subvention</t>
  </si>
  <si>
    <t>macro_sensitivity</t>
  </si>
  <si>
    <t>D2C7</t>
  </si>
  <si>
    <t>Coût foncier / CA</t>
  </si>
  <si>
    <t>land_cost_ratio</t>
  </si>
  <si>
    <t>D2C8</t>
  </si>
  <si>
    <t>Chaîne d'autorisations (complétude)</t>
  </si>
  <si>
    <t>authorization_completeness_pct</t>
  </si>
  <si>
    <t>%</t>
  </si>
  <si>
    <t>D3C1</t>
  </si>
  <si>
    <t>Préventes sécurisées (encaissées / CA)</t>
  </si>
  <si>
    <t>pre_sale_rate</t>
  </si>
  <si>
    <t>D3C2</t>
  </si>
  <si>
    <t>Ventes vs planning</t>
  </si>
  <si>
    <t>sales_vs_plan</t>
  </si>
  <si>
    <t>D3C3</t>
  </si>
  <si>
    <t>DSO (jours)</t>
  </si>
  <si>
    <t>dso_days</t>
  </si>
  <si>
    <t>D3C4</t>
  </si>
  <si>
    <t>Cash coverage (cash / échéances)</t>
  </si>
  <si>
    <t>cash_coverage</t>
  </si>
  <si>
    <t>D3C5</t>
  </si>
  <si>
    <t>Impasse brute</t>
  </si>
  <si>
    <t>funding_gap_pct</t>
  </si>
  <si>
    <t>D3C6</t>
  </si>
  <si>
    <t>Rotation stock (mois)</t>
  </si>
  <si>
    <t>stock_rotation_months</t>
  </si>
  <si>
    <t>D3C7</t>
  </si>
  <si>
    <t>Marge brute stressée (prix -10%)</t>
  </si>
  <si>
    <t>stressed_margin_pct</t>
  </si>
  <si>
    <t>D3C8</t>
  </si>
  <si>
    <t>Ventes sécurisées (financement acquéreur)</t>
  </si>
  <si>
    <t>secured_sales_rate</t>
  </si>
  <si>
    <t>D4C1</t>
  </si>
  <si>
    <t>Marge brute (CA - coûts directs)/CA</t>
  </si>
  <si>
    <t>gross_margin_pct</t>
  </si>
  <si>
    <t>D4C2</t>
  </si>
  <si>
    <t>LTC (dette / coût total)</t>
  </si>
  <si>
    <t>ltc</t>
  </si>
  <si>
    <t>D4C3</t>
  </si>
  <si>
    <t>LTV stressée (dette / valeur×0,90)</t>
  </si>
  <si>
    <t>ltv_stressed</t>
  </si>
  <si>
    <t>GUARANTEE</t>
  </si>
  <si>
    <t>D4C4</t>
  </si>
  <si>
    <t>Couverture garanties réalisable</t>
  </si>
  <si>
    <t>guarantee_coverage</t>
  </si>
  <si>
    <t>D4C5</t>
  </si>
  <si>
    <t>Rang bancaire 1er rang</t>
  </si>
  <si>
    <t>first_rank</t>
  </si>
  <si>
    <t>D4C6</t>
  </si>
  <si>
    <t>Interest coverage (EBITDA / charges fin.)</t>
  </si>
  <si>
    <t>interest_coverage</t>
  </si>
  <si>
    <t>D4C7</t>
  </si>
  <si>
    <t>Quotité de désengagement vs équilibre</t>
  </si>
  <si>
    <t>release_quotity_gap_pts</t>
  </si>
  <si>
    <t>pts</t>
  </si>
  <si>
    <t>Barèmes de notation</t>
  </si>
  <si>
    <t>PLAGE : borne basse incluse (≥ Min), borne haute exclue (&lt; Max) ; cellule vide = illimité. MODALITE : valeur exacte saisie. Note de 1 à 10.</t>
  </si>
  <si>
    <t>Critère</t>
  </si>
  <si>
    <t>Valeur (modalité)</t>
  </si>
  <si>
    <t>Min (≥)</t>
  </si>
  <si>
    <t>Max (&lt;)</t>
  </si>
  <si>
    <t>Ordre</t>
  </si>
  <si>
    <t>Note</t>
  </si>
  <si>
    <t>PLAGE</t>
  </si>
  <si>
    <t>&lt; 1 (critique)</t>
  </si>
  <si>
    <t>1 à &lt; 3 (vigilance)</t>
  </si>
  <si>
    <t>≥ 3 (favorable)</t>
  </si>
  <si>
    <t>&lt; 100 (favorable)</t>
  </si>
  <si>
    <t>100 à &lt; 150 (vigilance)</t>
  </si>
  <si>
    <t>≥ 150 (critique)</t>
  </si>
  <si>
    <t>MODALITE</t>
  </si>
  <si>
    <t>opaque</t>
  </si>
  <si>
    <t>Opaque</t>
  </si>
  <si>
    <t>partielle</t>
  </si>
  <si>
    <t>Partielle</t>
  </si>
  <si>
    <t>claire</t>
  </si>
  <si>
    <t>Claire / structurée</t>
  </si>
  <si>
    <t>&lt; 40 (favorable)</t>
  </si>
  <si>
    <t>40 à &lt; 60 (vigilance)</t>
  </si>
  <si>
    <t>≥ 60 (critique)</t>
  </si>
  <si>
    <t>opportuniste</t>
  </si>
  <si>
    <t>Opportuniste</t>
  </si>
  <si>
    <t>regional</t>
  </si>
  <si>
    <t>Régional</t>
  </si>
  <si>
    <t>structure</t>
  </si>
  <si>
    <t>Structuré</t>
  </si>
  <si>
    <t>&lt; 80 (critique)</t>
  </si>
  <si>
    <t>80 à &lt; 100 (vigilance)</t>
  </si>
  <si>
    <t>≥ 100 (favorable)</t>
  </si>
  <si>
    <t>absentes</t>
  </si>
  <si>
    <t>Titre non purgé / autorisations absentes</t>
  </si>
  <si>
    <t>partielles</t>
  </si>
  <si>
    <t>Partielles</t>
  </si>
  <si>
    <t>definitives</t>
  </si>
  <si>
    <t>Titre purgé + autorisations définitives</t>
  </si>
  <si>
    <t>sur_positionne</t>
  </si>
  <si>
    <t>Sur-positionné / sur-offre</t>
  </si>
  <si>
    <t>moyen</t>
  </si>
  <si>
    <t>Correct</t>
  </si>
  <si>
    <t>aligne</t>
  </si>
  <si>
    <t>Aligné / forte demande</t>
  </si>
  <si>
    <t>elevee</t>
  </si>
  <si>
    <t>Élevée</t>
  </si>
  <si>
    <t>moyenne</t>
  </si>
  <si>
    <t>Moyenne</t>
  </si>
  <si>
    <t>standard</t>
  </si>
  <si>
    <t>Standard</t>
  </si>
  <si>
    <t>eleve</t>
  </si>
  <si>
    <t>Élevé</t>
  </si>
  <si>
    <t>Moyen</t>
  </si>
  <si>
    <t>faible</t>
  </si>
  <si>
    <t>Faible</t>
  </si>
  <si>
    <t>&lt; 25 (favorable)</t>
  </si>
  <si>
    <t>25 à &lt; 35 (vigilance)</t>
  </si>
  <si>
    <t>≥ 35 (critique)</t>
  </si>
  <si>
    <t>&lt; 50 % (critique)</t>
  </si>
  <si>
    <t>50 à &lt; 100 % (vigilance)</t>
  </si>
  <si>
    <t>≥ 100 % (favorable)</t>
  </si>
  <si>
    <t>&lt; 25 (critique)</t>
  </si>
  <si>
    <t>25 à &lt; 40 (vigilance)</t>
  </si>
  <si>
    <t>≥ 40 (favorable)</t>
  </si>
  <si>
    <t>&lt; 120 (favorable)</t>
  </si>
  <si>
    <t>120 à &lt; 240 (vigilance)</t>
  </si>
  <si>
    <t>≥ 240 (critique)</t>
  </si>
  <si>
    <t>1 à &lt; 1,2 (vigilance)</t>
  </si>
  <si>
    <t>≥ 1,2 (favorable)</t>
  </si>
  <si>
    <t>≤ 0 — aucune impasse (favorable)</t>
  </si>
  <si>
    <t>&gt; 0 à &lt; 10 (vigilance)</t>
  </si>
  <si>
    <t>≥ 10 (critique)</t>
  </si>
  <si>
    <t>&lt; 18 (favorable)</t>
  </si>
  <si>
    <t>18 à &lt; 30 (vigilance)</t>
  </si>
  <si>
    <t>≥ 30 (critique)</t>
  </si>
  <si>
    <t>&lt; 10 (critique)</t>
  </si>
  <si>
    <t>10 à &lt; 15 (vigilance)</t>
  </si>
  <si>
    <t>≥ 15 (favorable)</t>
  </si>
  <si>
    <t>&lt; 25 % (critique)</t>
  </si>
  <si>
    <t>25 à &lt; 40 % (vigilance)</t>
  </si>
  <si>
    <t>≥ 40 % (favorable)</t>
  </si>
  <si>
    <t>&lt; 15 (critique)</t>
  </si>
  <si>
    <t>15 à &lt; 25 (vigilance)</t>
  </si>
  <si>
    <t>≥ 25 (favorable)</t>
  </si>
  <si>
    <t>&lt; 60 (favorable)</t>
  </si>
  <si>
    <t>60 à &lt; 80 (vigilance)</t>
  </si>
  <si>
    <t>≥ 80 (critique)</t>
  </si>
  <si>
    <t>&lt; 70 (favorable)</t>
  </si>
  <si>
    <t>70 à &lt; 85 (vigilance)</t>
  </si>
  <si>
    <t>≥ 85 (critique)</t>
  </si>
  <si>
    <t>&lt; 90 (critique)</t>
  </si>
  <si>
    <t>90 à &lt; 120 (vigilance)</t>
  </si>
  <si>
    <t>≥ 120 (favorable)</t>
  </si>
  <si>
    <t>non</t>
  </si>
  <si>
    <t>Non 1er rang</t>
  </si>
  <si>
    <t>oui</t>
  </si>
  <si>
    <t>1er rang</t>
  </si>
  <si>
    <t>&lt; 1,5 (critique)</t>
  </si>
  <si>
    <t>1,5 à &lt; 3 (vigilance)</t>
  </si>
  <si>
    <t>&lt; −10 pts (critique)</t>
  </si>
  <si>
    <t>−10 à &lt; 0 pt (vigilance)</t>
  </si>
  <si>
    <t>≥ 0 pt (favorable)</t>
  </si>
  <si>
    <t>Couche D5 — alertes (red flags)</t>
  </si>
  <si>
    <t>Règle simple : Clé / Opérateur / Valeur. Opérateurs : isTrue, isFalse, eq, neq, gt, gte, lt, lte. BLOCKING = souffrance automatique (malus 0).</t>
  </si>
  <si>
    <t>Sévérité</t>
  </si>
  <si>
    <t>Malus</t>
  </si>
  <si>
    <t>Domaines</t>
  </si>
  <si>
    <t>Opérateur</t>
  </si>
  <si>
    <t>Valeur réf.</t>
  </si>
  <si>
    <t>Comité</t>
  </si>
  <si>
    <t>Effet</t>
  </si>
  <si>
    <t>Référence réglementaire / interne</t>
  </si>
  <si>
    <t>RF_ACQUEREURS_NON_FINANCES</t>
  </si>
  <si>
    <t>Financement acquéreur majoritairement non sécurisé</t>
  </si>
  <si>
    <t>MEDIUM</t>
  </si>
  <si>
    <t>D3,D5</t>
  </si>
  <si>
    <t>buyers_financing_at_risk</t>
  </si>
  <si>
    <t>isTrue</t>
  </si>
  <si>
    <t>HYPOTHESIS</t>
  </si>
  <si>
    <t>Liquidité des ventes — solvabilité acquéreur</t>
  </si>
  <si>
    <t>RF_AUTORISATION_TIRAGE</t>
  </si>
  <si>
    <t>Autorisation indispensable aux travaux non levée</t>
  </si>
  <si>
    <t>HIGH</t>
  </si>
  <si>
    <t>D2,D5</t>
  </si>
  <si>
    <t>works_authorization_blocked</t>
  </si>
  <si>
    <t>SURVEILLANCE</t>
  </si>
  <si>
    <t>Loi 25-90 (lotissements) ; loi 12-90 (urbanisme) ; ANCFCC</t>
  </si>
  <si>
    <t>RF_CASH_LT_ECH</t>
  </si>
  <si>
    <t>Cash coverage &lt; 1,0x</t>
  </si>
  <si>
    <t>lt</t>
  </si>
  <si>
    <t>RF_DIVISION_RISQUES</t>
  </si>
  <si>
    <t>Limite de division des risques dépassée</t>
  </si>
  <si>
    <t>D5</t>
  </si>
  <si>
    <t>division_limit_breach</t>
  </si>
  <si>
    <t>REGULATORY</t>
  </si>
  <si>
    <t>Division des risques — limite par contrepartie / groupe d'intérêt</t>
  </si>
  <si>
    <t>RF_FP_NEG</t>
  </si>
  <si>
    <t>Fonds propres négatifs</t>
  </si>
  <si>
    <t>D4,D5</t>
  </si>
  <si>
    <t>equity_negative</t>
  </si>
  <si>
    <t>RF_IMPASSE_PERSIST</t>
  </si>
  <si>
    <t>Impasse de trésorerie persistante</t>
  </si>
  <si>
    <t>funding_gap_persistent</t>
  </si>
  <si>
    <t>RF_IMPAYE_90J</t>
  </si>
  <si>
    <t>Impayé ≥ 90 jours (souffrance automatique)</t>
  </si>
  <si>
    <t>BLOCKING</t>
  </si>
  <si>
    <t>gte</t>
  </si>
  <si>
    <t>1/W art.5 ; art.34</t>
  </si>
  <si>
    <t>RF_LITIGE</t>
  </si>
  <si>
    <t>Action en justice / contentieux (CTX)</t>
  </si>
  <si>
    <t>legal_exposure</t>
  </si>
  <si>
    <t>eq</t>
  </si>
  <si>
    <t>litigation</t>
  </si>
  <si>
    <t>1/W art.12.8</t>
  </si>
  <si>
    <t>RF_MAINLEVEE_SOUS_TARIFEE</t>
  </si>
  <si>
    <t>Prix de mainlevée sous-tarifé</t>
  </si>
  <si>
    <t>release_underpriced</t>
  </si>
  <si>
    <t>Politique interne — mainlevées partielles</t>
  </si>
  <si>
    <t>RF_NON_1ER_RANG</t>
  </si>
  <si>
    <t>Garantie non 1er rang</t>
  </si>
  <si>
    <t>RF_PROJET_ARRET_12M</t>
  </si>
  <si>
    <t>Projet à l'arrêt ≥ 12 mois (souffrance automatique)</t>
  </si>
  <si>
    <t>project_stopped_months</t>
  </si>
  <si>
    <t>1/W art.12.7</t>
  </si>
  <si>
    <t>RF_RESTRUCT</t>
  </si>
  <si>
    <t>Première restructuration</t>
  </si>
  <si>
    <t>restructured</t>
  </si>
  <si>
    <t>yes</t>
  </si>
  <si>
    <t>1/W art.17-31</t>
  </si>
  <si>
    <t>RF_RETARD_6M</t>
  </si>
  <si>
    <t>Retard chantier ≥ 6 mois</t>
  </si>
  <si>
    <t>construction_delay_months</t>
  </si>
  <si>
    <t>Référentiels métier (pratique marocaine)</t>
  </si>
  <si>
    <t>Équivalents des référentiels administrables de l'application. Modifiables ici sans macro.</t>
  </si>
  <si>
    <t>Chaîne d'autorisations</t>
  </si>
  <si>
    <t>Pièce</t>
  </si>
  <si>
    <t>Jalon</t>
  </si>
  <si>
    <t>Lotissement</t>
  </si>
  <si>
    <t>Construction</t>
  </si>
  <si>
    <t>Mixte</t>
  </si>
  <si>
    <t>Bloque travaux</t>
  </si>
  <si>
    <t>Bloque livraison</t>
  </si>
  <si>
    <t>Référence</t>
  </si>
  <si>
    <t>note_renseignement</t>
  </si>
  <si>
    <t>Note de renseignements urbanistiques</t>
  </si>
  <si>
    <t>ETUDE</t>
  </si>
  <si>
    <t>Urbanisme — agence urbaine</t>
  </si>
  <si>
    <t>titre_foncier_purge</t>
  </si>
  <si>
    <t>Titre foncier purgé (sans inscription contraignante)</t>
  </si>
  <si>
    <t>OCTROI</t>
  </si>
  <si>
    <t>ANCFCC — conservation foncière</t>
  </si>
  <si>
    <t>autorisation_lotir</t>
  </si>
  <si>
    <t>Autorisation de lotir</t>
  </si>
  <si>
    <t>Loi 25-90 relative aux lotissements</t>
  </si>
  <si>
    <t>permis_construire</t>
  </si>
  <si>
    <t>Permis de construire</t>
  </si>
  <si>
    <t>Loi 12-90 relative à l'urbanisme</t>
  </si>
  <si>
    <t>autorisation_morcellement</t>
  </si>
  <si>
    <t>Autorisation de morcellement / éclatement du titre</t>
  </si>
  <si>
    <t>ANCFCC — morcellement du titre mère</t>
  </si>
  <si>
    <t>reception_provisoire</t>
  </si>
  <si>
    <t>Réception provisoire des travaux</t>
  </si>
  <si>
    <t>permis_habiter</t>
  </si>
  <si>
    <t>Permis d'habiter</t>
  </si>
  <si>
    <t>Loi 12-90</t>
  </si>
  <si>
    <t>certificat_conformite</t>
  </si>
  <si>
    <t>Certificat de conformité</t>
  </si>
  <si>
    <t>reception_definitive</t>
  </si>
  <si>
    <t>Réception définitive</t>
  </si>
  <si>
    <t>Financement de l'acquéreur</t>
  </si>
  <si>
    <t>Facteur de sécurisation</t>
  </si>
  <si>
    <t>fonds_propres</t>
  </si>
  <si>
    <t>Autofinancement (fonds propres acquéreur)</t>
  </si>
  <si>
    <t>credit_debloque</t>
  </si>
  <si>
    <t>Crédit acquéreur débloqué</t>
  </si>
  <si>
    <t>credit_accorde</t>
  </si>
  <si>
    <t>Crédit accordé (accord de principe / offre)</t>
  </si>
  <si>
    <t>credit_en_cours</t>
  </si>
  <si>
    <t>Demande de crédit en cours d'instruction</t>
  </si>
  <si>
    <t>non_instruit</t>
  </si>
  <si>
    <t>Financement non instruit</t>
  </si>
  <si>
    <t>credit_refuse</t>
  </si>
  <si>
    <t>Crédit refusé</t>
  </si>
  <si>
    <t>Natures de concours (information — contrôle de tirage)</t>
  </si>
  <si>
    <t>Situation de travaux visée requise</t>
  </si>
  <si>
    <t>avance_foncier</t>
  </si>
  <si>
    <t>Avance sur acquisition du foncier</t>
  </si>
  <si>
    <t>credit_accompagnement</t>
  </si>
  <si>
    <t>Crédit d'accompagnement / de construction</t>
  </si>
  <si>
    <t>credit_amenagement</t>
  </si>
  <si>
    <t>Crédit d'aménagement (lotissement / VRD)</t>
  </si>
  <si>
    <t>credit_in_fine</t>
  </si>
  <si>
    <t>Crédit in fine</t>
  </si>
  <si>
    <t>caution_marche</t>
  </si>
  <si>
    <t>Caution / engagement par signature</t>
  </si>
  <si>
    <t>Dispositifs d'aide à l'acquéreur (information)</t>
  </si>
  <si>
    <t>aide_directe_logement</t>
  </si>
  <si>
    <t>Aide directe au logement</t>
  </si>
  <si>
    <t>fogarim</t>
  </si>
  <si>
    <t>FOGARIM</t>
  </si>
  <si>
    <t>damane_assakane</t>
  </si>
  <si>
    <t>Damane Assakane</t>
  </si>
  <si>
    <t>aucun</t>
  </si>
  <si>
    <t>Aucun dispositif</t>
  </si>
  <si>
    <t>Saisie du dossier</t>
  </si>
  <si>
    <t>Cellules jaunes = à renseigner. Une donnée absente n'améliore JAMAIS le résultat (note plancher, ou « dossier incomplet » si la donnée est décisionnelle).</t>
  </si>
  <si>
    <t>Référence dossier</t>
  </si>
  <si>
    <t>Nom du projet</t>
  </si>
  <si>
    <t>Classe réglementaire BAM</t>
  </si>
  <si>
    <t>Phase du projet (challenger)</t>
  </si>
  <si>
    <t>← classe suggérée par le seul retard de paiement (les déclencheurs qualitatifs 1/W — art. 5, 12.6, 12.7, restructuration — restent à apprécier)</t>
  </si>
  <si>
    <t>Section</t>
  </si>
  <si>
    <t>Clé technique</t>
  </si>
  <si>
    <t>Donnée</t>
  </si>
  <si>
    <t>Valeur saisie</t>
  </si>
  <si>
    <t>Valeur calculée</t>
  </si>
  <si>
    <t>Valeur retenue</t>
  </si>
  <si>
    <t>Aide</t>
  </si>
  <si>
    <t>D1 — Sponsor &amp; Gouvernance</t>
  </si>
  <si>
    <t>nombre (ratio/%)</t>
  </si>
  <si>
    <t>valeurs : opaque | partielle | claire</t>
  </si>
  <si>
    <t>valeurs : opportuniste | regional | structure</t>
  </si>
  <si>
    <t>D2 — Qualité intrinsèque du projet</t>
  </si>
  <si>
    <t>valeurs : absentes | partielles | definitives</t>
  </si>
  <si>
    <t>valeurs : sur_positionne | moyen | aligne</t>
  </si>
  <si>
    <t>valeurs : elevee | moyenne | standard</t>
  </si>
  <si>
    <t>valeurs : eleve | moyen | faible</t>
  </si>
  <si>
    <t>valeurs : elevee | moyenne | faible</t>
  </si>
  <si>
    <t>nombre (%) — calculé par l'onglet Calculateurs ; la saisie prime</t>
  </si>
  <si>
    <t>D3 — Commercial &amp; Cash-flow</t>
  </si>
  <si>
    <t>D4 — Structuration financière &amp; LGD</t>
  </si>
  <si>
    <t>valeurs : non | oui</t>
  </si>
  <si>
    <t>nombre (pts) — calculé par l'onglet Calculateurs ; la saisie prime</t>
  </si>
  <si>
    <t>Alertes D5</t>
  </si>
  <si>
    <t>Retard de paiement (jours)</t>
  </si>
  <si>
    <t>nombre — donnée décisionnelle</t>
  </si>
  <si>
    <t>Retard chantier (mois)</t>
  </si>
  <si>
    <t>nombre</t>
  </si>
  <si>
    <t>Arrêt du projet (mois)</t>
  </si>
  <si>
    <t>Créance restructurée</t>
  </si>
  <si>
    <t>valeurs : yes | no</t>
  </si>
  <si>
    <t>Exposition juridique</t>
  </si>
  <si>
    <t>valeurs : clear | watch | litigation</t>
  </si>
  <si>
    <t>BOOL</t>
  </si>
  <si>
    <t>Oui / Non</t>
  </si>
  <si>
    <t>Autorisation de travaux bloquante</t>
  </si>
  <si>
    <t>Oui / Non — calculé par l'onglet Calculateurs ; la saisie prime</t>
  </si>
  <si>
    <t>Financement des acquéreurs à risque</t>
  </si>
  <si>
    <t>Mainlevée sous-tarifée</t>
  </si>
  <si>
    <t>Calculateurs — alimentent automatiquement les données dérivées (Saisie, colonne « Valeur calculée »)</t>
  </si>
  <si>
    <t>Une valeur saisie directement dans l'onglet Saisie prime toujours sur ces calculs.</t>
  </si>
  <si>
    <t>A. Chaîne d'autorisations</t>
  </si>
  <si>
    <t>Nature du programme</t>
  </si>
  <si>
    <t>Exigible</t>
  </si>
  <si>
    <t>Obtenue</t>
  </si>
  <si>
    <t>Manquante</t>
  </si>
  <si>
    <t>Complétude de la chaîne (%)</t>
  </si>
  <si>
    <t>Verrou de travaux (pièce indispensable manquante)</t>
  </si>
  <si>
    <t>Saisie de la chaîne effectuée ?</t>
  </si>
  <si>
    <t>B. Ventes sécurisées (financement de l'acquéreur)</t>
  </si>
  <si>
    <t>Valeur commercialisable totale (MAD)</t>
  </si>
  <si>
    <t>vide = somme des prix des lots ci-dessous</t>
  </si>
  <si>
    <t>Lot</t>
  </si>
  <si>
    <t>Statut de financement acquéreur</t>
  </si>
  <si>
    <t>Prix (MAD)</t>
  </si>
  <si>
    <t>Engagé juridiquement</t>
  </si>
  <si>
    <t>Facteur</t>
  </si>
  <si>
    <t>Renseigné</t>
  </si>
  <si>
    <t>À risque</t>
  </si>
  <si>
    <t>Chiffre d'affaires engagé (MAD)</t>
  </si>
  <si>
    <t>Chiffre d'affaires sécurisé (MAD)</t>
  </si>
  <si>
    <t>Taux de ventes sécurisées (%)</t>
  </si>
  <si>
    <t>Financement acquéreurs à risque (≥ 40 % des lots renseignés)</t>
  </si>
  <si>
    <t>C. Mainlevée partielle et prix de désengagement</t>
  </si>
  <si>
    <t>Quotité de désengagement convenue (%)</t>
  </si>
  <si>
    <t>Encours de crédit adossé au programme (MAD)</t>
  </si>
  <si>
    <t>Quotité d'équilibre (%) = encours / valeur</t>
  </si>
  <si>
    <t>Écart quotité appliquée − équilibre (points)</t>
  </si>
  <si>
    <t>Quotité sous-tarifée ?</t>
  </si>
  <si>
    <t>Quotité recommandée (équilibre + 10 %)</t>
  </si>
  <si>
    <t>D. Division des risques</t>
  </si>
  <si>
    <t>Fonds propres prudentiels de l'établissement (MAD)</t>
  </si>
  <si>
    <t>Limite par contrepartie / groupe (% des fonds propres)</t>
  </si>
  <si>
    <t>Seuil « grand risque » (% des fonds propres)</t>
  </si>
  <si>
    <t>Concours</t>
  </si>
  <si>
    <t>Encours tiré (MAD)</t>
  </si>
  <si>
    <t>Non tiré (MAD)</t>
  </si>
  <si>
    <t>CCF (0–1)</t>
  </si>
  <si>
    <t>Exposition</t>
  </si>
  <si>
    <t>Exposition agrégée (MAD)</t>
  </si>
  <si>
    <t>Limite (MAD)</t>
  </si>
  <si>
    <t>Ratio exposition / fonds propres (%)</t>
  </si>
  <si>
    <t>Marge disponible avant limite (MAD)</t>
  </si>
  <si>
    <t>Limite dépassée ?</t>
  </si>
  <si>
    <t>Grand risque ?</t>
  </si>
  <si>
    <t>Résultat du scoring</t>
  </si>
  <si>
    <t>Score final (0–100)</t>
  </si>
  <si>
    <t>Décision</t>
  </si>
  <si>
    <t>Classe interne</t>
  </si>
  <si>
    <t>PD proxy (indicative, non calibrée)</t>
  </si>
  <si>
    <t>Score économique S_éco (avant ajustement)</t>
  </si>
  <si>
    <t>Score ajusté S_adj = S_éco×(1+α+β)</t>
  </si>
  <si>
    <t>Malus cumulés D5 (points)</t>
  </si>
  <si>
    <t>Score après pénalités</t>
  </si>
  <si>
    <t>Coefficient réglementaire BAM</t>
  </si>
  <si>
    <t>Note économique (capacité de remboursement)</t>
  </si>
  <si>
    <t>Note de sûretés (perte en cas de défaut)</t>
  </si>
  <si>
    <t>α segment</t>
  </si>
  <si>
    <t>β zone</t>
  </si>
  <si>
    <t>Segment / zone hors référentiel</t>
  </si>
  <si>
    <t>Critère éliminatoire (gate) franchi</t>
  </si>
  <si>
    <t>Alerte bloquante (souffrance automatique)</t>
  </si>
  <si>
    <t>Défaut avéré (classe réglementaire)</t>
  </si>
  <si>
    <t>Dossier incomplet (donnée décisionnelle absente)</t>
  </si>
  <si>
    <t>Données décisionnelles manquantes</t>
  </si>
  <si>
    <t>Critères éliminatoires franchis</t>
  </si>
  <si>
    <t>Alertes déclenchées / non exclues</t>
  </si>
  <si>
    <t>Retour en comité requis</t>
  </si>
  <si>
    <t>Classe bloquante (contentieux)</t>
  </si>
  <si>
    <t>(interne)</t>
  </si>
  <si>
    <t>Challengers (indicatifs — score officiel inchangé)</t>
  </si>
  <si>
    <t>Phase du projet</t>
  </si>
  <si>
    <t>Score éco. avec pondération de phase</t>
  </si>
  <si>
    <t>Écart vs score éco. officiel</t>
  </si>
  <si>
    <t>Score ajusté sans coefficients territoriaux</t>
  </si>
  <si>
    <t>Effet des coefficients segment / zone</t>
  </si>
  <si>
    <t>Scores par domaine</t>
  </si>
  <si>
    <t>Score /100</t>
  </si>
  <si>
    <t>Contribution</t>
  </si>
  <si>
    <t>Poids phase</t>
  </si>
  <si>
    <t>Contribution phase</t>
  </si>
  <si>
    <t>Détail par critère (explicabilité)</t>
  </si>
  <si>
    <t>Clé</t>
  </si>
  <si>
    <t>Note /10</t>
  </si>
  <si>
    <t>Pondéré</t>
  </si>
  <si>
    <t>Gate franchi</t>
  </si>
  <si>
    <t>Donnée critique manquante</t>
  </si>
  <si>
    <t>Note plancher</t>
  </si>
  <si>
    <t>Nb correspondances</t>
  </si>
  <si>
    <t>Note brute</t>
  </si>
  <si>
    <t>Poids domaine</t>
  </si>
  <si>
    <t>Poids effectif</t>
  </si>
  <si>
    <t>Cumul manquantes</t>
  </si>
  <si>
    <t>Cumul gates</t>
  </si>
  <si>
    <t>(clé additionnelle)</t>
  </si>
  <si>
    <t>Détail des alertes D5</t>
  </si>
  <si>
    <t>Déclenchée</t>
  </si>
  <si>
    <t>Non exclue (donnée absente)</t>
  </si>
  <si>
    <t>Malus appliqué</t>
  </si>
  <si>
    <t>Clé numérique manquante</t>
  </si>
  <si>
    <t>Cumul alertes</t>
  </si>
  <si>
    <t>Scoring de portefeuille</t>
  </si>
  <si>
    <t>Une ligne par dossier. Les valeurs Oui/Non pour les booléens. Macro : ScorerPortefeuille (Alt+F8) — remplit les colonnes de résultat à droite.</t>
  </si>
  <si>
    <t>Identité</t>
  </si>
  <si>
    <t>Données d'entrée (mêmes clés que l'onglet Saisie)</t>
  </si>
  <si>
    <t>Classe BAM</t>
  </si>
  <si>
    <t>Score final</t>
  </si>
  <si>
    <t>Malus D5</t>
  </si>
  <si>
    <t>Dossier complet</t>
  </si>
  <si>
    <t>Score éco.</t>
  </si>
  <si>
    <t>Note sûretés</t>
  </si>
  <si>
    <t>PD indicative</t>
  </si>
  <si>
    <t>Alertes</t>
  </si>
  <si>
    <t>EXEMPLE-1</t>
  </si>
  <si>
    <t>Dossier solide, classe saine</t>
  </si>
  <si>
    <t>no</t>
  </si>
  <si>
    <t>clear</t>
  </si>
  <si>
    <t>EXEMPLE-2</t>
  </si>
  <si>
    <t>Dossier intermédiaire (score moyen)</t>
  </si>
  <si>
    <t>EXEMPLE-3</t>
  </si>
  <si>
    <t>Non 1er rang + restructuration : malus cumulés</t>
  </si>
  <si>
    <t>Autotests — cas de référence issus du moteur de production</t>
  </si>
  <si>
    <t>Les résultats attendus proviennent de l'exécution du moteur de l'application sur le modèle v4.0.0. Macro : ExecuterAutotests (tolérance 0,02 point).</t>
  </si>
  <si>
    <t>Cas</t>
  </si>
  <si>
    <t>Description</t>
  </si>
  <si>
    <t>Attendu : score final</t>
  </si>
  <si>
    <t>Attendu : décision</t>
  </si>
  <si>
    <t>Attendu : classe interne</t>
  </si>
  <si>
    <t>Attendu : malus</t>
  </si>
  <si>
    <t>Attendu : incomplet</t>
  </si>
  <si>
    <t>Attendu : score éco.</t>
  </si>
  <si>
    <t>Attendu : D1</t>
  </si>
  <si>
    <t>Attendu : D2</t>
  </si>
  <si>
    <t>Attendu : D3</t>
  </si>
  <si>
    <t>Attendu : D4</t>
  </si>
  <si>
    <t>Attendu : note sûretés</t>
  </si>
  <si>
    <t>Obtenu : score final</t>
  </si>
  <si>
    <t>Obtenu : décision</t>
  </si>
  <si>
    <t>Statut</t>
  </si>
  <si>
    <t>T01</t>
  </si>
  <si>
    <t>GO</t>
  </si>
  <si>
    <t>Sain</t>
  </si>
  <si>
    <t>T02</t>
  </si>
  <si>
    <t>Solide, segment touristique + zone Marrakech (ajustements)</t>
  </si>
  <si>
    <t>T03</t>
  </si>
  <si>
    <t>WATCH_LIST</t>
  </si>
  <si>
    <t>Sensible probable</t>
  </si>
  <si>
    <t>T04</t>
  </si>
  <si>
    <t>Dossier intermédiaire dégradé (cash 0,9 + impasse persistante)</t>
  </si>
  <si>
    <t>NO_GO</t>
  </si>
  <si>
    <t>Sensible</t>
  </si>
  <si>
    <t>T05</t>
  </si>
  <si>
    <t>Impayé 120 j : alerte bloquante, souffrance</t>
  </si>
  <si>
    <t>Souffrance</t>
  </si>
  <si>
    <t>T06</t>
  </si>
  <si>
    <t>Cash coverage 0,99 : alerte -25</t>
  </si>
  <si>
    <t>GO_WITH_CONDITIONS</t>
  </si>
  <si>
    <t>Surveillance</t>
  </si>
  <si>
    <t>T07</t>
  </si>
  <si>
    <t>Cash coverage absent : dossier incomplet</t>
  </si>
  <si>
    <t>DOSSIER_INCOMPLET</t>
  </si>
  <si>
    <t>Dossier incomplet</t>
  </si>
  <si>
    <t>T08</t>
  </si>
  <si>
    <t>Classe pré-douteuse : défaut avéré</t>
  </si>
  <si>
    <t>T09</t>
  </si>
  <si>
    <t>Classe contentieux CTX : score 0</t>
  </si>
  <si>
    <t>T10</t>
  </si>
  <si>
    <t>Classe sensible : coefficient 0,9</t>
  </si>
  <si>
    <t>T11</t>
  </si>
  <si>
    <t>Apport 50 % : gate franchi</t>
  </si>
  <si>
    <t>T12</t>
  </si>
  <si>
    <t>T13</t>
  </si>
  <si>
    <t>Segment et zone hors référentiel</t>
  </si>
  <si>
    <t>segment_inconnu</t>
  </si>
  <si>
    <t>zone_inconnue</t>
  </si>
  <si>
    <t>T14</t>
  </si>
  <si>
    <t>Classe non renseignée : dossier incomplet</t>
  </si>
  <si>
    <t>T15</t>
  </si>
  <si>
    <t>Autorisation indispensable manquante (verrou de tirage)</t>
  </si>
  <si>
    <t>T16</t>
  </si>
  <si>
    <t>Gouvernance non renseignée (qualitatif : note plancher)</t>
  </si>
  <si>
    <t>T17</t>
  </si>
  <si>
    <t>Retard chantier 8 mois + prix de mainlevée sous-tarifé</t>
  </si>
  <si>
    <t>T18</t>
  </si>
  <si>
    <t>Retard de paiement (dpd_days) absent : dossier incomplet</t>
  </si>
  <si>
    <t>T19</t>
  </si>
  <si>
    <t>Litige : alerte bloquante CTX</t>
  </si>
  <si>
    <t>T20</t>
  </si>
  <si>
    <t>Projet en difficulté (dégradé + non 1er rang)</t>
  </si>
  <si>
    <t>Stress test sur le dossier courant (onglet Saisie)</t>
  </si>
  <si>
    <t>Chocs appliqués aux données primitives par identités comptables (marge, LTV, LTC) — mêmes règles que l'application. Macro : LancerStress.</t>
  </si>
  <si>
    <t>Score de base</t>
  </si>
  <si>
    <t>Décision de base</t>
  </si>
  <si>
    <t>Scénario</t>
  </si>
  <si>
    <t>Prix −%</t>
  </si>
  <si>
    <t>Coût +%</t>
  </si>
  <si>
    <t>Retard (mois)</t>
  </si>
  <si>
    <t>Ventes −%</t>
  </si>
  <si>
    <t>Taux +bps</t>
  </si>
  <si>
    <t>Préventes −pts</t>
  </si>
  <si>
    <t>Retard paiement +j</t>
  </si>
  <si>
    <t>Δ vs base</t>
  </si>
  <si>
    <t>price10</t>
  </si>
  <si>
    <t>Prix −10 %</t>
  </si>
  <si>
    <t>price15</t>
  </si>
  <si>
    <t>Prix −15 %</t>
  </si>
  <si>
    <t>cost10</t>
  </si>
  <si>
    <t>Coût +10 %</t>
  </si>
  <si>
    <t>delay6</t>
  </si>
  <si>
    <t>Retard +6 mois</t>
  </si>
  <si>
    <t>sales20</t>
  </si>
  <si>
    <t>Ventes −20 %</t>
  </si>
  <si>
    <t>rate200</t>
  </si>
  <si>
    <t>Taux +200 bps</t>
  </si>
  <si>
    <t>severe</t>
  </si>
  <si>
    <t>Sévère combiné</t>
  </si>
  <si>
    <t>Historique des calculs (journal)</t>
  </si>
  <si>
    <t>Alimenté par les macros (ScorerDossier, ScorerPortefeuille). La version du modèle est tracée sur chaque ligne.</t>
  </si>
  <si>
    <t>Date / heure</t>
  </si>
  <si>
    <t>Utilisateur</t>
  </si>
  <si>
    <t>Dossier</t>
  </si>
  <si>
    <t>Outil de scoring — Promotion immobilière</t>
  </si>
  <si>
    <t>À quoi sert ce classeur</t>
  </si>
  <si>
    <t>Calculer le score, la décision et la classe interne d'un dossier de promotion immobilière selon le modèle PI_PROMOTION v4.0.0, hors de l'application : simulation, comité, agence, dépannage. Il reproduit le moteur de production (vérifié sur 20 cas de référence).</t>
  </si>
  <si>
    <t>Principe</t>
  </si>
  <si>
    <t>Le MOTEUR est en formules Excel (onglet Resultat) : chaque note est traçable cellule par cellule et les barèmes se modifient sans code. Le VBA (fichiers .bas fournis) AUTOMATISE : scoring de portefeuille, stress test, validation du modèle, autotests, journal, export PDF.</t>
  </si>
  <si>
    <t>1. Renseigner un dossier</t>
  </si>
  <si>
    <t>Onglet Saisie : segment, zone, classe réglementaire BAM, puis les données (cellules jaunes). Les données dérivées (autorisations, ventes sécurisées, mainlevée, division des risques) peuvent être calculées dans l'onglet Calculateurs ; une valeur saisie prime.</t>
  </si>
  <si>
    <t>2. Lire le résultat</t>
  </si>
  <si>
    <t>Onglet Resultat : score final, décision, classe interne, malus, alertes, détail par critère et par domaine. Une donnée décisionnelle absente donne « DOSSIER_INCOMPLET » — jamais un meilleur score.</t>
  </si>
  <si>
    <t>3. Automatiser (VBA)</t>
  </si>
  <si>
    <t>Alt+F11 → Fichier → Importer un fichier → sélectionner les 5 fichiers .bas du dossier « vba ». Puis exécuter InstallerBoutons (une seule fois) et enregistrer le classeur au format .xlsm.</t>
  </si>
  <si>
    <t>4. Vérifier</t>
  </si>
  <si>
    <t>Exécuter ExecuterAutotests : compare les résultats du classeur à 20 cas de référence issus du moteur de production. Exécuter ValiderModele après toute modification des paramètres.</t>
  </si>
  <si>
    <t>Invariants de décision</t>
  </si>
  <si>
    <t>Donnée manquante ≠ amélioration (note plancher ; alerte « non exclue » si sa donnée numérique manque) · Défaut avéré → NO_GO · Classe non renseignée → dossier incomplet · Aucun malus pour la division des risques (retour en comité).</t>
  </si>
  <si>
    <t>Ce que le classeur ne fait pas</t>
  </si>
  <si>
    <t>Classification BAM complète (déclencheurs qualitatifs 1/W, restructuration, effet de groupe) : la classe est saisie ; seule une suggestion fondée sur le retard est affichée. Trésorerie mensuelle, LGD, IFRS 9, workflow d'approbation, historisation multi-utilisateurs : dans l'application.</t>
  </si>
  <si>
    <t>Limites d'usage</t>
  </si>
  <si>
    <t>Classeur individuel : pas de contrôle d'accès ni de piste d'audit opposable. La PD affichée est INDICATIVE et non calibrée : ne pas l'utiliser pour des pertes attendues ou du capital. Les grilles par phase et l'effet des coefficients territoriaux sont des challengers, pas la décision.</t>
  </si>
  <si>
    <t>Paramétrage</t>
  </si>
  <si>
    <t>Onglets P_* (bleus) : critères, barèmes, alertes, ajustements, référentiels, seuils. Modifier = ValiderModele + nouvelle version (macro SnapshotModele) + information du propriétaire du modèle. La version de référence reste celle de l'application.</t>
  </si>
  <si>
    <t>Compatibilité</t>
  </si>
  <si>
    <t>Excel 2010 ou plus récent (Windows), Excel pour Mac pour les formules. Les macros n'utilisent pas de bibliothèque externe. Aucun contenu actif n'est intégré au fichier .xlsx fourni.</t>
  </si>
  <si>
    <t>Onglets</t>
  </si>
  <si>
    <t>Saisie</t>
  </si>
  <si>
    <t>Données du dossier</t>
  </si>
  <si>
    <t>Resultat</t>
  </si>
  <si>
    <t>Moteur de calcul et restitution</t>
  </si>
  <si>
    <t>Calculateurs</t>
  </si>
  <si>
    <t>Autorisations, ventes sécurisées, mainlevée, division des risques</t>
  </si>
  <si>
    <t>Portefeuille</t>
  </si>
  <si>
    <t>Scoring de masse (macro)</t>
  </si>
  <si>
    <t>Stress</t>
  </si>
  <si>
    <t>Chocs sur le dossier courant (macro)</t>
  </si>
  <si>
    <t>Tests</t>
  </si>
  <si>
    <t>20 cas de référence (macro)</t>
  </si>
  <si>
    <t>Historique</t>
  </si>
  <si>
    <t>Journal des calculs</t>
  </si>
  <si>
    <t>P_*</t>
  </si>
  <si>
    <t>Paramètres du modèle (bleus)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</si>
</sst>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%"/>
    <numFmt numFmtId="166" formatCode="0.00;-0.00;;@"/>
    <numFmt numFmtId="167" formatCode="#,##0"/>
    <numFmt numFmtId="168" formatCode="0.####"/>
  </numFmts>
  <fonts count="13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1F386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95959"/>
      <name val="Calibri"/>
      <family val="2"/>
      <scheme val="minor"/>
    </font>
    <font>
      <sz val="8"/>
      <color rgb="FF7F7F7F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1" xfId="0" applyFont="1" applyFill="1" applyBorder="1"/>
    <xf numFmtId="0" fontId="5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6" fillId="0" borderId="0" xfId="0" applyFont="1"/>
    <xf numFmtId="0" fontId="7" fillId="5" borderId="1" xfId="0" applyFont="1" applyFill="1" applyBorder="1" applyAlignment="1">
      <alignment vertical="center" wrapText="1"/>
    </xf>
    <xf numFmtId="0" fontId="8" fillId="0" borderId="0" xfId="0" applyFont="1"/>
    <xf numFmtId="0" fontId="9" fillId="4" borderId="1" xfId="0" applyFont="1" applyFill="1" applyBorder="1"/>
    <xf numFmtId="164" fontId="10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12" fillId="0" borderId="0" xfId="0" applyFont="1"/>
    <xf numFmtId="167" fontId="4" fillId="4" borderId="1" xfId="0" applyNumberFormat="1" applyFont="1" applyFill="1" applyBorder="1"/>
    <xf numFmtId="168" fontId="4" fillId="3" borderId="1" xfId="0" applyNumberFormat="1" applyFont="1" applyFill="1" applyBorder="1"/>
    <xf numFmtId="0" fontId="7" fillId="6" borderId="1" xfId="0" applyFont="1" applyFill="1" applyBorder="1" applyAlignment="1">
      <alignment wrapText="1"/>
    </xf>
    <xf numFmtId="0" fontId="4" fillId="7" borderId="1" xfId="0" applyFont="1" applyFill="1" applyBorder="1"/>
    <xf numFmtId="168" fontId="4" fillId="7" borderId="1" xfId="0" applyNumberFormat="1" applyFont="1" applyFill="1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24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3" width="110.7109375" customWidth="1"/>
  </cols>
  <sheetData>
    <row r="1" spans="2:3">
      <c r="B1" s="1" t="s">
        <v>715</v>
      </c>
    </row>
    <row r="2" spans="2:3">
      <c r="B2" s="2">
        <f>"Modèle PI_PROMOTION "&amp;P_Version&amp;" — publié le "&amp;P_Date</f>
        <v>0</v>
      </c>
    </row>
    <row r="4" spans="2:3" ht="48" customHeight="1">
      <c r="B4" s="3" t="s">
        <v>716</v>
      </c>
      <c r="C4" s="4" t="s">
        <v>717</v>
      </c>
    </row>
    <row r="5" spans="2:3" ht="48" customHeight="1">
      <c r="B5" s="3" t="s">
        <v>718</v>
      </c>
      <c r="C5" s="4" t="s">
        <v>719</v>
      </c>
    </row>
    <row r="6" spans="2:3" ht="48" customHeight="1">
      <c r="B6" s="3" t="s">
        <v>720</v>
      </c>
      <c r="C6" s="4" t="s">
        <v>721</v>
      </c>
    </row>
    <row r="7" spans="2:3" ht="48" customHeight="1">
      <c r="B7" s="3" t="s">
        <v>722</v>
      </c>
      <c r="C7" s="4" t="s">
        <v>723</v>
      </c>
    </row>
    <row r="8" spans="2:3" ht="48" customHeight="1">
      <c r="B8" s="3" t="s">
        <v>724</v>
      </c>
      <c r="C8" s="4" t="s">
        <v>725</v>
      </c>
    </row>
    <row r="9" spans="2:3" ht="48" customHeight="1">
      <c r="B9" s="3" t="s">
        <v>726</v>
      </c>
      <c r="C9" s="4" t="s">
        <v>727</v>
      </c>
    </row>
    <row r="10" spans="2:3" ht="48" customHeight="1">
      <c r="B10" s="3" t="s">
        <v>728</v>
      </c>
      <c r="C10" s="4" t="s">
        <v>729</v>
      </c>
    </row>
    <row r="11" spans="2:3" ht="48" customHeight="1">
      <c r="B11" s="3" t="s">
        <v>730</v>
      </c>
      <c r="C11" s="4" t="s">
        <v>731</v>
      </c>
    </row>
    <row r="12" spans="2:3" ht="48" customHeight="1">
      <c r="B12" s="3" t="s">
        <v>732</v>
      </c>
      <c r="C12" s="4" t="s">
        <v>733</v>
      </c>
    </row>
    <row r="13" spans="2:3" ht="48" customHeight="1">
      <c r="B13" s="3" t="s">
        <v>734</v>
      </c>
      <c r="C13" s="4" t="s">
        <v>735</v>
      </c>
    </row>
    <row r="14" spans="2:3" ht="48" customHeight="1">
      <c r="B14" s="3" t="s">
        <v>736</v>
      </c>
      <c r="C14" s="4" t="s">
        <v>737</v>
      </c>
    </row>
    <row r="16" spans="2:3">
      <c r="B16" s="5" t="s">
        <v>738</v>
      </c>
      <c r="C16" s="5"/>
    </row>
    <row r="17" spans="2:3">
      <c r="B17" s="6" t="s">
        <v>739</v>
      </c>
      <c r="C17" t="s">
        <v>740</v>
      </c>
    </row>
    <row r="18" spans="2:3">
      <c r="B18" s="6" t="s">
        <v>741</v>
      </c>
      <c r="C18" t="s">
        <v>742</v>
      </c>
    </row>
    <row r="19" spans="2:3">
      <c r="B19" s="6" t="s">
        <v>743</v>
      </c>
      <c r="C19" t="s">
        <v>744</v>
      </c>
    </row>
    <row r="20" spans="2:3">
      <c r="B20" s="6" t="s">
        <v>745</v>
      </c>
      <c r="C20" t="s">
        <v>746</v>
      </c>
    </row>
    <row r="21" spans="2:3">
      <c r="B21" s="6" t="s">
        <v>747</v>
      </c>
      <c r="C21" t="s">
        <v>748</v>
      </c>
    </row>
    <row r="22" spans="2:3">
      <c r="B22" s="6" t="s">
        <v>749</v>
      </c>
      <c r="C22" t="s">
        <v>750</v>
      </c>
    </row>
    <row r="23" spans="2:3">
      <c r="B23" s="6" t="s">
        <v>751</v>
      </c>
      <c r="C23" t="s">
        <v>752</v>
      </c>
    </row>
    <row r="24" spans="2:3">
      <c r="B24" s="6" t="s">
        <v>753</v>
      </c>
      <c r="C24" t="s">
        <v>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H92"/>
  <sheetViews>
    <sheetView tabSelected="1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/>
    </sheetView>
  </sheetViews>
  <sheetFormatPr defaultRowHeight="15"/>
  <cols>
    <col min="1" max="1" width="26.7109375" customWidth="1"/>
    <col min="2" max="2" width="34.7109375" customWidth="1"/>
    <col min="3" max="3" width="44.7109375" customWidth="1"/>
    <col min="4" max="4" width="8.7109375" customWidth="1"/>
    <col min="5" max="7" width="16.7109375" customWidth="1"/>
    <col min="8" max="8" width="58.7109375" customWidth="1"/>
  </cols>
  <sheetData>
    <row r="1" spans="1:8">
      <c r="A1" s="1" t="s">
        <v>448</v>
      </c>
    </row>
    <row r="2" spans="1:8">
      <c r="A2" s="2" t="s">
        <v>449</v>
      </c>
    </row>
    <row r="4" spans="1:8">
      <c r="A4" s="6" t="s">
        <v>450</v>
      </c>
      <c r="C4" s="7"/>
    </row>
    <row r="5" spans="1:8">
      <c r="A5" s="6" t="s">
        <v>451</v>
      </c>
      <c r="C5" s="7"/>
    </row>
    <row r="6" spans="1:8">
      <c r="A6" s="6" t="s">
        <v>58</v>
      </c>
      <c r="C6" s="7"/>
    </row>
    <row r="7" spans="1:8">
      <c r="A7" s="6" t="s">
        <v>60</v>
      </c>
      <c r="C7" s="7"/>
    </row>
    <row r="8" spans="1:8">
      <c r="A8" s="6" t="s">
        <v>452</v>
      </c>
      <c r="C8" s="7"/>
      <c r="D8" s="8"/>
      <c r="E8" s="8">
        <f>IFERROR(IF(NOT(ISNUMBER(INDEX(In_Retenue,MATCH("dpd_days",In_Cles,0)))),"",IF(INDEX(In_Retenue,MATCH("dpd_days",In_Cles,0))&gt;=P_DPD3,"COMPROMIS",IF(INDEX(In_Retenue,MATCH("dpd_days",In_Cles,0))&gt;=P_DPD2,"DOUTEUX",IF(INDEX(In_Retenue,MATCH("dpd_days",In_Cles,0))&gt;=P_DPD1,"PRE_DOUTEUX","SAIN")))),"")</f>
        <v>0</v>
      </c>
      <c r="F8" s="8">
        <f>IF(OR(C8="",E8=""),"",IF(MATCH(C8,P_ClsCodes,0)&lt;MATCH(E8,P_ClsCodes,0),"⚠ Classe moins sévère que le retard constaté","Cohérent avec le retard"))</f>
        <v>0</v>
      </c>
      <c r="G8" s="9" t="s">
        <v>454</v>
      </c>
    </row>
    <row r="9" spans="1:8">
      <c r="A9" s="6" t="s">
        <v>453</v>
      </c>
      <c r="C9" s="7"/>
    </row>
    <row r="10" spans="1:8">
      <c r="A10" s="6" t="s">
        <v>4</v>
      </c>
      <c r="C10" s="8">
        <f>P_Version&amp;" — "&amp;P_Date</f>
        <v>0</v>
      </c>
    </row>
    <row r="12" spans="1:8">
      <c r="A12" s="10" t="s">
        <v>455</v>
      </c>
      <c r="B12" s="10" t="s">
        <v>456</v>
      </c>
      <c r="C12" s="10" t="s">
        <v>457</v>
      </c>
      <c r="D12" s="10" t="s">
        <v>97</v>
      </c>
      <c r="E12" s="10" t="s">
        <v>458</v>
      </c>
      <c r="F12" s="10" t="s">
        <v>459</v>
      </c>
      <c r="G12" s="10" t="s">
        <v>460</v>
      </c>
      <c r="H12" s="10" t="s">
        <v>461</v>
      </c>
    </row>
    <row r="13" spans="1:8">
      <c r="A13" s="8" t="s">
        <v>462</v>
      </c>
      <c r="B13" s="8" t="s">
        <v>108</v>
      </c>
      <c r="C13" s="8" t="s">
        <v>106</v>
      </c>
      <c r="D13" s="8" t="s">
        <v>107</v>
      </c>
      <c r="E13" s="7"/>
      <c r="F13" s="8"/>
      <c r="G13" s="8">
        <f>IF(E13&lt;&gt;"",IF(D13="BOOL",IF(E13="Oui",TRUE,IF(E13="Non",FALSE,"")),E13),IF(F13="","",IF(D13="BOOL",IF(F13="Oui",TRUE,IF(F13="Non",FALSE,"")),F13)))</f>
        <v>0</v>
      </c>
      <c r="H13" s="11" t="s">
        <v>463</v>
      </c>
    </row>
    <row r="14" spans="1:8">
      <c r="A14" s="8" t="s">
        <v>462</v>
      </c>
      <c r="B14" s="8" t="s">
        <v>113</v>
      </c>
      <c r="C14" s="8" t="s">
        <v>112</v>
      </c>
      <c r="D14" s="8" t="s">
        <v>107</v>
      </c>
      <c r="E14" s="7"/>
      <c r="F14" s="8"/>
      <c r="G14" s="8">
        <f>IF(E14&lt;&gt;"",IF(D14="BOOL",IF(E14="Oui",TRUE,IF(E14="Non",FALSE,"")),E14),IF(F14="","",IF(D14="BOOL",IF(F14="Oui",TRUE,IF(F14="Non",FALSE,"")),F14)))</f>
        <v>0</v>
      </c>
      <c r="H14" s="11" t="s">
        <v>463</v>
      </c>
    </row>
    <row r="15" spans="1:8">
      <c r="A15" s="8" t="s">
        <v>462</v>
      </c>
      <c r="B15" s="8" t="s">
        <v>117</v>
      </c>
      <c r="C15" s="8" t="s">
        <v>115</v>
      </c>
      <c r="D15" s="8" t="s">
        <v>116</v>
      </c>
      <c r="E15" s="7"/>
      <c r="F15" s="8"/>
      <c r="G15" s="8">
        <f>IF(E15&lt;&gt;"",IF(D15="BOOL",IF(E15="Oui",TRUE,IF(E15="Non",FALSE,"")),E15),IF(F15="","",IF(D15="BOOL",IF(F15="Oui",TRUE,IF(F15="Non",FALSE,"")),F15)))</f>
        <v>0</v>
      </c>
      <c r="H15" s="11" t="s">
        <v>464</v>
      </c>
    </row>
    <row r="16" spans="1:8">
      <c r="A16" s="8" t="s">
        <v>462</v>
      </c>
      <c r="B16" s="8" t="s">
        <v>121</v>
      </c>
      <c r="C16" s="8" t="s">
        <v>120</v>
      </c>
      <c r="D16" s="8" t="s">
        <v>107</v>
      </c>
      <c r="E16" s="7"/>
      <c r="F16" s="8"/>
      <c r="G16" s="8">
        <f>IF(E16&lt;&gt;"",IF(D16="BOOL",IF(E16="Oui",TRUE,IF(E16="Non",FALSE,"")),E16),IF(F16="","",IF(D16="BOOL",IF(F16="Oui",TRUE,IF(F16="Non",FALSE,"")),F16)))</f>
        <v>0</v>
      </c>
      <c r="H16" s="11" t="s">
        <v>463</v>
      </c>
    </row>
    <row r="17" spans="1:8">
      <c r="A17" s="8" t="s">
        <v>462</v>
      </c>
      <c r="B17" s="8" t="s">
        <v>124</v>
      </c>
      <c r="C17" s="8" t="s">
        <v>123</v>
      </c>
      <c r="D17" s="8" t="s">
        <v>116</v>
      </c>
      <c r="E17" s="7"/>
      <c r="F17" s="8"/>
      <c r="G17" s="8">
        <f>IF(E17&lt;&gt;"",IF(D17="BOOL",IF(E17="Oui",TRUE,IF(E17="Non",FALSE,"")),E17),IF(F17="","",IF(D17="BOOL",IF(F17="Oui",TRUE,IF(F17="Non",FALSE,"")),F17)))</f>
        <v>0</v>
      </c>
      <c r="H17" s="11" t="s">
        <v>465</v>
      </c>
    </row>
    <row r="18" spans="1:8">
      <c r="A18" s="8" t="s">
        <v>462</v>
      </c>
      <c r="B18" s="8" t="s">
        <v>127</v>
      </c>
      <c r="C18" s="8" t="s">
        <v>126</v>
      </c>
      <c r="D18" s="8" t="s">
        <v>107</v>
      </c>
      <c r="E18" s="7"/>
      <c r="F18" s="8"/>
      <c r="G18" s="8">
        <f>IF(E18&lt;&gt;"",IF(D18="BOOL",IF(E18="Oui",TRUE,IF(E18="Non",FALSE,"")),E18),IF(F18="","",IF(D18="BOOL",IF(F18="Oui",TRUE,IF(F18="Non",FALSE,"")),F18)))</f>
        <v>0</v>
      </c>
      <c r="H18" s="11" t="s">
        <v>463</v>
      </c>
    </row>
    <row r="19" spans="1:8">
      <c r="A19" s="8" t="s">
        <v>466</v>
      </c>
      <c r="B19" s="8" t="s">
        <v>131</v>
      </c>
      <c r="C19" s="8" t="s">
        <v>130</v>
      </c>
      <c r="D19" s="8" t="s">
        <v>116</v>
      </c>
      <c r="E19" s="7"/>
      <c r="F19" s="8"/>
      <c r="G19" s="8">
        <f>IF(E19&lt;&gt;"",IF(D19="BOOL",IF(E19="Oui",TRUE,IF(E19="Non",FALSE,"")),E19),IF(F19="","",IF(D19="BOOL",IF(F19="Oui",TRUE,IF(F19="Non",FALSE,"")),F19)))</f>
        <v>0</v>
      </c>
      <c r="H19" s="11" t="s">
        <v>467</v>
      </c>
    </row>
    <row r="20" spans="1:8">
      <c r="A20" s="8" t="s">
        <v>466</v>
      </c>
      <c r="B20" s="8" t="s">
        <v>135</v>
      </c>
      <c r="C20" s="8" t="s">
        <v>134</v>
      </c>
      <c r="D20" s="8" t="s">
        <v>116</v>
      </c>
      <c r="E20" s="7"/>
      <c r="F20" s="8"/>
      <c r="G20" s="8">
        <f>IF(E20&lt;&gt;"",IF(D20="BOOL",IF(E20="Oui",TRUE,IF(E20="Non",FALSE,"")),E20),IF(F20="","",IF(D20="BOOL",IF(F20="Oui",TRUE,IF(F20="Non",FALSE,"")),F20)))</f>
        <v>0</v>
      </c>
      <c r="H20" s="11" t="s">
        <v>468</v>
      </c>
    </row>
    <row r="21" spans="1:8">
      <c r="A21" s="8" t="s">
        <v>466</v>
      </c>
      <c r="B21" s="8" t="s">
        <v>138</v>
      </c>
      <c r="C21" s="8" t="s">
        <v>137</v>
      </c>
      <c r="D21" s="8" t="s">
        <v>116</v>
      </c>
      <c r="E21" s="7"/>
      <c r="F21" s="8"/>
      <c r="G21" s="8">
        <f>IF(E21&lt;&gt;"",IF(D21="BOOL",IF(E21="Oui",TRUE,IF(E21="Non",FALSE,"")),E21),IF(F21="","",IF(D21="BOOL",IF(F21="Oui",TRUE,IF(F21="Non",FALSE,"")),F21)))</f>
        <v>0</v>
      </c>
      <c r="H21" s="11" t="s">
        <v>469</v>
      </c>
    </row>
    <row r="22" spans="1:8">
      <c r="A22" s="8" t="s">
        <v>466</v>
      </c>
      <c r="B22" s="8" t="s">
        <v>141</v>
      </c>
      <c r="C22" s="8" t="s">
        <v>140</v>
      </c>
      <c r="D22" s="8" t="s">
        <v>107</v>
      </c>
      <c r="E22" s="7"/>
      <c r="F22" s="8"/>
      <c r="G22" s="8">
        <f>IF(E22&lt;&gt;"",IF(D22="BOOL",IF(E22="Oui",TRUE,IF(E22="Non",FALSE,"")),E22),IF(F22="","",IF(D22="BOOL",IF(F22="Oui",TRUE,IF(F22="Non",FALSE,"")),F22)))</f>
        <v>0</v>
      </c>
      <c r="H22" s="11" t="s">
        <v>463</v>
      </c>
    </row>
    <row r="23" spans="1:8">
      <c r="A23" s="8" t="s">
        <v>466</v>
      </c>
      <c r="B23" s="8" t="s">
        <v>144</v>
      </c>
      <c r="C23" s="8" t="s">
        <v>143</v>
      </c>
      <c r="D23" s="8" t="s">
        <v>116</v>
      </c>
      <c r="E23" s="7"/>
      <c r="F23" s="8"/>
      <c r="G23" s="8">
        <f>IF(E23&lt;&gt;"",IF(D23="BOOL",IF(E23="Oui",TRUE,IF(E23="Non",FALSE,"")),E23),IF(F23="","",IF(D23="BOOL",IF(F23="Oui",TRUE,IF(F23="Non",FALSE,"")),F23)))</f>
        <v>0</v>
      </c>
      <c r="H23" s="11" t="s">
        <v>470</v>
      </c>
    </row>
    <row r="24" spans="1:8">
      <c r="A24" s="8" t="s">
        <v>466</v>
      </c>
      <c r="B24" s="8" t="s">
        <v>147</v>
      </c>
      <c r="C24" s="8" t="s">
        <v>146</v>
      </c>
      <c r="D24" s="8" t="s">
        <v>116</v>
      </c>
      <c r="E24" s="7"/>
      <c r="F24" s="8"/>
      <c r="G24" s="8">
        <f>IF(E24&lt;&gt;"",IF(D24="BOOL",IF(E24="Oui",TRUE,IF(E24="Non",FALSE,"")),E24),IF(F24="","",IF(D24="BOOL",IF(F24="Oui",TRUE,IF(F24="Non",FALSE,"")),F24)))</f>
        <v>0</v>
      </c>
      <c r="H24" s="11" t="s">
        <v>471</v>
      </c>
    </row>
    <row r="25" spans="1:8">
      <c r="A25" s="8" t="s">
        <v>466</v>
      </c>
      <c r="B25" s="8" t="s">
        <v>150</v>
      </c>
      <c r="C25" s="8" t="s">
        <v>149</v>
      </c>
      <c r="D25" s="8" t="s">
        <v>107</v>
      </c>
      <c r="E25" s="7"/>
      <c r="F25" s="8"/>
      <c r="G25" s="8">
        <f>IF(E25&lt;&gt;"",IF(D25="BOOL",IF(E25="Oui",TRUE,IF(E25="Non",FALSE,"")),E25),IF(F25="","",IF(D25="BOOL",IF(F25="Oui",TRUE,IF(F25="Non",FALSE,"")),F25)))</f>
        <v>0</v>
      </c>
      <c r="H25" s="11" t="s">
        <v>463</v>
      </c>
    </row>
    <row r="26" spans="1:8">
      <c r="A26" s="8" t="s">
        <v>466</v>
      </c>
      <c r="B26" s="8" t="s">
        <v>153</v>
      </c>
      <c r="C26" s="8" t="s">
        <v>152</v>
      </c>
      <c r="D26" s="8" t="s">
        <v>107</v>
      </c>
      <c r="E26" s="7"/>
      <c r="F26" s="8">
        <f>IF(Calculateurs!C35,Calculateurs!C33,"")</f>
        <v>0</v>
      </c>
      <c r="G26" s="8">
        <f>IF(E26&lt;&gt;"",IF(D26="BOOL",IF(E26="Oui",TRUE,IF(E26="Non",FALSE,"")),E26),IF(F26="","",IF(D26="BOOL",IF(F26="Oui",TRUE,IF(F26="Non",FALSE,"")),F26)))</f>
        <v>0</v>
      </c>
      <c r="H26" s="11" t="s">
        <v>472</v>
      </c>
    </row>
    <row r="27" spans="1:8">
      <c r="A27" s="8" t="s">
        <v>473</v>
      </c>
      <c r="B27" s="8" t="s">
        <v>157</v>
      </c>
      <c r="C27" s="8" t="s">
        <v>156</v>
      </c>
      <c r="D27" s="8" t="s">
        <v>107</v>
      </c>
      <c r="E27" s="7"/>
      <c r="F27" s="8"/>
      <c r="G27" s="8">
        <f>IF(E27&lt;&gt;"",IF(D27="BOOL",IF(E27="Oui",TRUE,IF(E27="Non",FALSE,"")),E27),IF(F27="","",IF(D27="BOOL",IF(F27="Oui",TRUE,IF(F27="Non",FALSE,"")),F27)))</f>
        <v>0</v>
      </c>
      <c r="H27" s="11" t="s">
        <v>463</v>
      </c>
    </row>
    <row r="28" spans="1:8">
      <c r="A28" s="8" t="s">
        <v>473</v>
      </c>
      <c r="B28" s="8" t="s">
        <v>160</v>
      </c>
      <c r="C28" s="8" t="s">
        <v>159</v>
      </c>
      <c r="D28" s="8" t="s">
        <v>107</v>
      </c>
      <c r="E28" s="7"/>
      <c r="F28" s="8"/>
      <c r="G28" s="8">
        <f>IF(E28&lt;&gt;"",IF(D28="BOOL",IF(E28="Oui",TRUE,IF(E28="Non",FALSE,"")),E28),IF(F28="","",IF(D28="BOOL",IF(F28="Oui",TRUE,IF(F28="Non",FALSE,"")),F28)))</f>
        <v>0</v>
      </c>
      <c r="H28" s="11" t="s">
        <v>463</v>
      </c>
    </row>
    <row r="29" spans="1:8">
      <c r="A29" s="8" t="s">
        <v>473</v>
      </c>
      <c r="B29" s="8" t="s">
        <v>163</v>
      </c>
      <c r="C29" s="8" t="s">
        <v>162</v>
      </c>
      <c r="D29" s="8" t="s">
        <v>107</v>
      </c>
      <c r="E29" s="7"/>
      <c r="F29" s="8"/>
      <c r="G29" s="8">
        <f>IF(E29&lt;&gt;"",IF(D29="BOOL",IF(E29="Oui",TRUE,IF(E29="Non",FALSE,"")),E29),IF(F29="","",IF(D29="BOOL",IF(F29="Oui",TRUE,IF(F29="Non",FALSE,"")),F29)))</f>
        <v>0</v>
      </c>
      <c r="H29" s="11" t="s">
        <v>463</v>
      </c>
    </row>
    <row r="30" spans="1:8">
      <c r="A30" s="8" t="s">
        <v>473</v>
      </c>
      <c r="B30" s="8" t="s">
        <v>166</v>
      </c>
      <c r="C30" s="8" t="s">
        <v>165</v>
      </c>
      <c r="D30" s="8" t="s">
        <v>107</v>
      </c>
      <c r="E30" s="7"/>
      <c r="F30" s="8"/>
      <c r="G30" s="8">
        <f>IF(E30&lt;&gt;"",IF(D30="BOOL",IF(E30="Oui",TRUE,IF(E30="Non",FALSE,"")),E30),IF(F30="","",IF(D30="BOOL",IF(F30="Oui",TRUE,IF(F30="Non",FALSE,"")),F30)))</f>
        <v>0</v>
      </c>
      <c r="H30" s="11" t="s">
        <v>463</v>
      </c>
    </row>
    <row r="31" spans="1:8">
      <c r="A31" s="8" t="s">
        <v>473</v>
      </c>
      <c r="B31" s="8" t="s">
        <v>169</v>
      </c>
      <c r="C31" s="8" t="s">
        <v>168</v>
      </c>
      <c r="D31" s="8" t="s">
        <v>107</v>
      </c>
      <c r="E31" s="7"/>
      <c r="F31" s="8"/>
      <c r="G31" s="8">
        <f>IF(E31&lt;&gt;"",IF(D31="BOOL",IF(E31="Oui",TRUE,IF(E31="Non",FALSE,"")),E31),IF(F31="","",IF(D31="BOOL",IF(F31="Oui",TRUE,IF(F31="Non",FALSE,"")),F31)))</f>
        <v>0</v>
      </c>
      <c r="H31" s="11" t="s">
        <v>463</v>
      </c>
    </row>
    <row r="32" spans="1:8">
      <c r="A32" s="8" t="s">
        <v>473</v>
      </c>
      <c r="B32" s="8" t="s">
        <v>172</v>
      </c>
      <c r="C32" s="8" t="s">
        <v>171</v>
      </c>
      <c r="D32" s="8" t="s">
        <v>107</v>
      </c>
      <c r="E32" s="7"/>
      <c r="F32" s="8"/>
      <c r="G32" s="8">
        <f>IF(E32&lt;&gt;"",IF(D32="BOOL",IF(E32="Oui",TRUE,IF(E32="Non",FALSE,"")),E32),IF(F32="","",IF(D32="BOOL",IF(F32="Oui",TRUE,IF(F32="Non",FALSE,"")),F32)))</f>
        <v>0</v>
      </c>
      <c r="H32" s="11" t="s">
        <v>463</v>
      </c>
    </row>
    <row r="33" spans="1:8">
      <c r="A33" s="8" t="s">
        <v>473</v>
      </c>
      <c r="B33" s="8" t="s">
        <v>175</v>
      </c>
      <c r="C33" s="8" t="s">
        <v>174</v>
      </c>
      <c r="D33" s="8" t="s">
        <v>107</v>
      </c>
      <c r="E33" s="7"/>
      <c r="F33" s="8"/>
      <c r="G33" s="8">
        <f>IF(E33&lt;&gt;"",IF(D33="BOOL",IF(E33="Oui",TRUE,IF(E33="Non",FALSE,"")),E33),IF(F33="","",IF(D33="BOOL",IF(F33="Oui",TRUE,IF(F33="Non",FALSE,"")),F33)))</f>
        <v>0</v>
      </c>
      <c r="H33" s="11" t="s">
        <v>463</v>
      </c>
    </row>
    <row r="34" spans="1:8">
      <c r="A34" s="8" t="s">
        <v>473</v>
      </c>
      <c r="B34" s="8" t="s">
        <v>178</v>
      </c>
      <c r="C34" s="8" t="s">
        <v>177</v>
      </c>
      <c r="D34" s="8" t="s">
        <v>107</v>
      </c>
      <c r="E34" s="7"/>
      <c r="F34" s="8">
        <f>Calculateurs!C85</f>
        <v>0</v>
      </c>
      <c r="G34" s="8">
        <f>IF(E34&lt;&gt;"",IF(D34="BOOL",IF(E34="Oui",TRUE,IF(E34="Non",FALSE,"")),E34),IF(F34="","",IF(D34="BOOL",IF(F34="Oui",TRUE,IF(F34="Non",FALSE,"")),F34)))</f>
        <v>0</v>
      </c>
      <c r="H34" s="11" t="s">
        <v>472</v>
      </c>
    </row>
    <row r="35" spans="1:8">
      <c r="A35" s="8" t="s">
        <v>474</v>
      </c>
      <c r="B35" s="8" t="s">
        <v>181</v>
      </c>
      <c r="C35" s="8" t="s">
        <v>180</v>
      </c>
      <c r="D35" s="8" t="s">
        <v>107</v>
      </c>
      <c r="E35" s="7"/>
      <c r="F35" s="8"/>
      <c r="G35" s="8">
        <f>IF(E35&lt;&gt;"",IF(D35="BOOL",IF(E35="Oui",TRUE,IF(E35="Non",FALSE,"")),E35),IF(F35="","",IF(D35="BOOL",IF(F35="Oui",TRUE,IF(F35="Non",FALSE,"")),F35)))</f>
        <v>0</v>
      </c>
      <c r="H35" s="11" t="s">
        <v>463</v>
      </c>
    </row>
    <row r="36" spans="1:8">
      <c r="A36" s="8" t="s">
        <v>474</v>
      </c>
      <c r="B36" s="8" t="s">
        <v>184</v>
      </c>
      <c r="C36" s="8" t="s">
        <v>183</v>
      </c>
      <c r="D36" s="8" t="s">
        <v>107</v>
      </c>
      <c r="E36" s="7"/>
      <c r="F36" s="8"/>
      <c r="G36" s="8">
        <f>IF(E36&lt;&gt;"",IF(D36="BOOL",IF(E36="Oui",TRUE,IF(E36="Non",FALSE,"")),E36),IF(F36="","",IF(D36="BOOL",IF(F36="Oui",TRUE,IF(F36="Non",FALSE,"")),F36)))</f>
        <v>0</v>
      </c>
      <c r="H36" s="11" t="s">
        <v>463</v>
      </c>
    </row>
    <row r="37" spans="1:8">
      <c r="A37" s="8" t="s">
        <v>474</v>
      </c>
      <c r="B37" s="8" t="s">
        <v>187</v>
      </c>
      <c r="C37" s="8" t="s">
        <v>186</v>
      </c>
      <c r="D37" s="8" t="s">
        <v>107</v>
      </c>
      <c r="E37" s="7"/>
      <c r="F37" s="8"/>
      <c r="G37" s="8">
        <f>IF(E37&lt;&gt;"",IF(D37="BOOL",IF(E37="Oui",TRUE,IF(E37="Non",FALSE,"")),E37),IF(F37="","",IF(D37="BOOL",IF(F37="Oui",TRUE,IF(F37="Non",FALSE,"")),F37)))</f>
        <v>0</v>
      </c>
      <c r="H37" s="11" t="s">
        <v>463</v>
      </c>
    </row>
    <row r="38" spans="1:8">
      <c r="A38" s="8" t="s">
        <v>474</v>
      </c>
      <c r="B38" s="8" t="s">
        <v>191</v>
      </c>
      <c r="C38" s="8" t="s">
        <v>190</v>
      </c>
      <c r="D38" s="8" t="s">
        <v>107</v>
      </c>
      <c r="E38" s="7"/>
      <c r="F38" s="8"/>
      <c r="G38" s="8">
        <f>IF(E38&lt;&gt;"",IF(D38="BOOL",IF(E38="Oui",TRUE,IF(E38="Non",FALSE,"")),E38),IF(F38="","",IF(D38="BOOL",IF(F38="Oui",TRUE,IF(F38="Non",FALSE,"")),F38)))</f>
        <v>0</v>
      </c>
      <c r="H38" s="11" t="s">
        <v>463</v>
      </c>
    </row>
    <row r="39" spans="1:8">
      <c r="A39" s="8" t="s">
        <v>474</v>
      </c>
      <c r="B39" s="8" t="s">
        <v>194</v>
      </c>
      <c r="C39" s="8" t="s">
        <v>193</v>
      </c>
      <c r="D39" s="8" t="s">
        <v>116</v>
      </c>
      <c r="E39" s="7"/>
      <c r="F39" s="8"/>
      <c r="G39" s="8">
        <f>IF(E39&lt;&gt;"",IF(D39="BOOL",IF(E39="Oui",TRUE,IF(E39="Non",FALSE,"")),E39),IF(F39="","",IF(D39="BOOL",IF(F39="Oui",TRUE,IF(F39="Non",FALSE,"")),F39)))</f>
        <v>0</v>
      </c>
      <c r="H39" s="11" t="s">
        <v>475</v>
      </c>
    </row>
    <row r="40" spans="1:8">
      <c r="A40" s="8" t="s">
        <v>474</v>
      </c>
      <c r="B40" s="8" t="s">
        <v>197</v>
      </c>
      <c r="C40" s="8" t="s">
        <v>196</v>
      </c>
      <c r="D40" s="8" t="s">
        <v>107</v>
      </c>
      <c r="E40" s="7"/>
      <c r="F40" s="8"/>
      <c r="G40" s="8">
        <f>IF(E40&lt;&gt;"",IF(D40="BOOL",IF(E40="Oui",TRUE,IF(E40="Non",FALSE,"")),E40),IF(F40="","",IF(D40="BOOL",IF(F40="Oui",TRUE,IF(F40="Non",FALSE,"")),F40)))</f>
        <v>0</v>
      </c>
      <c r="H40" s="11" t="s">
        <v>463</v>
      </c>
    </row>
    <row r="41" spans="1:8">
      <c r="A41" s="8" t="s">
        <v>474</v>
      </c>
      <c r="B41" s="8" t="s">
        <v>200</v>
      </c>
      <c r="C41" s="8" t="s">
        <v>199</v>
      </c>
      <c r="D41" s="8" t="s">
        <v>107</v>
      </c>
      <c r="E41" s="7"/>
      <c r="F41" s="8">
        <f>Calculateurs!C94</f>
        <v>0</v>
      </c>
      <c r="G41" s="8">
        <f>IF(E41&lt;&gt;"",IF(D41="BOOL",IF(E41="Oui",TRUE,IF(E41="Non",FALSE,"")),E41),IF(F41="","",IF(D41="BOOL",IF(F41="Oui",TRUE,IF(F41="Non",FALSE,"")),F41)))</f>
        <v>0</v>
      </c>
      <c r="H41" s="11" t="s">
        <v>476</v>
      </c>
    </row>
    <row r="42" spans="1:8">
      <c r="A42" s="8" t="s">
        <v>477</v>
      </c>
      <c r="B42" s="8" t="s">
        <v>15</v>
      </c>
      <c r="C42" s="8" t="s">
        <v>478</v>
      </c>
      <c r="D42" s="8" t="s">
        <v>107</v>
      </c>
      <c r="E42" s="7"/>
      <c r="F42" s="8"/>
      <c r="G42" s="8">
        <f>IF(E42&lt;&gt;"",IF(D42="BOOL",IF(E42="Oui",TRUE,IF(E42="Non",FALSE,"")),E42),IF(F42="","",IF(D42="BOOL",IF(F42="Oui",TRUE,IF(F42="Non",FALSE,"")),F42)))</f>
        <v>0</v>
      </c>
      <c r="H42" s="11" t="s">
        <v>479</v>
      </c>
    </row>
    <row r="43" spans="1:8">
      <c r="A43" s="8" t="s">
        <v>477</v>
      </c>
      <c r="B43" s="8" t="s">
        <v>375</v>
      </c>
      <c r="C43" s="8" t="s">
        <v>480</v>
      </c>
      <c r="D43" s="8" t="s">
        <v>107</v>
      </c>
      <c r="E43" s="7"/>
      <c r="F43" s="8"/>
      <c r="G43" s="8">
        <f>IF(E43&lt;&gt;"",IF(D43="BOOL",IF(E43="Oui",TRUE,IF(E43="Non",FALSE,"")),E43),IF(F43="","",IF(D43="BOOL",IF(F43="Oui",TRUE,IF(F43="Non",FALSE,"")),F43)))</f>
        <v>0</v>
      </c>
      <c r="H43" s="11" t="s">
        <v>481</v>
      </c>
    </row>
    <row r="44" spans="1:8">
      <c r="A44" s="8" t="s">
        <v>477</v>
      </c>
      <c r="B44" s="8" t="s">
        <v>366</v>
      </c>
      <c r="C44" s="8" t="s">
        <v>482</v>
      </c>
      <c r="D44" s="8" t="s">
        <v>107</v>
      </c>
      <c r="E44" s="7"/>
      <c r="F44" s="8"/>
      <c r="G44" s="8">
        <f>IF(E44&lt;&gt;"",IF(D44="BOOL",IF(E44="Oui",TRUE,IF(E44="Non",FALSE,"")),E44),IF(F44="","",IF(D44="BOOL",IF(F44="Oui",TRUE,IF(F44="Non",FALSE,"")),F44)))</f>
        <v>0</v>
      </c>
      <c r="H44" s="11" t="s">
        <v>481</v>
      </c>
    </row>
    <row r="45" spans="1:8">
      <c r="A45" s="8" t="s">
        <v>477</v>
      </c>
      <c r="B45" s="8" t="s">
        <v>370</v>
      </c>
      <c r="C45" s="8" t="s">
        <v>483</v>
      </c>
      <c r="D45" s="8" t="s">
        <v>116</v>
      </c>
      <c r="E45" s="7"/>
      <c r="F45" s="8"/>
      <c r="G45" s="8">
        <f>IF(E45&lt;&gt;"",IF(D45="BOOL",IF(E45="Oui",TRUE,IF(E45="Non",FALSE,"")),E45),IF(F45="","",IF(D45="BOOL",IF(F45="Oui",TRUE,IF(F45="Non",FALSE,"")),F45)))</f>
        <v>0</v>
      </c>
      <c r="H45" s="11" t="s">
        <v>484</v>
      </c>
    </row>
    <row r="46" spans="1:8">
      <c r="A46" s="8" t="s">
        <v>477</v>
      </c>
      <c r="B46" s="8" t="s">
        <v>354</v>
      </c>
      <c r="C46" s="8" t="s">
        <v>485</v>
      </c>
      <c r="D46" s="8" t="s">
        <v>116</v>
      </c>
      <c r="E46" s="7"/>
      <c r="F46" s="8"/>
      <c r="G46" s="8">
        <f>IF(E46&lt;&gt;"",IF(D46="BOOL",IF(E46="Oui",TRUE,IF(E46="Non",FALSE,"")),E46),IF(F46="","",IF(D46="BOOL",IF(F46="Oui",TRUE,IF(F46="Non",FALSE,"")),F46)))</f>
        <v>0</v>
      </c>
      <c r="H46" s="11" t="s">
        <v>486</v>
      </c>
    </row>
    <row r="47" spans="1:8">
      <c r="A47" s="8" t="s">
        <v>477</v>
      </c>
      <c r="B47" s="8" t="s">
        <v>343</v>
      </c>
      <c r="C47" s="8" t="s">
        <v>341</v>
      </c>
      <c r="D47" s="8" t="s">
        <v>487</v>
      </c>
      <c r="E47" s="7"/>
      <c r="F47" s="8"/>
      <c r="G47" s="8">
        <f>IF(E47&lt;&gt;"",IF(D47="BOOL",IF(E47="Oui",TRUE,IF(E47="Non",FALSE,"")),E47),IF(F47="","",IF(D47="BOOL",IF(F47="Oui",TRUE,IF(F47="Non",FALSE,"")),F47)))</f>
        <v>0</v>
      </c>
      <c r="H47" s="11" t="s">
        <v>488</v>
      </c>
    </row>
    <row r="48" spans="1:8">
      <c r="A48" s="8" t="s">
        <v>477</v>
      </c>
      <c r="B48" s="8" t="s">
        <v>346</v>
      </c>
      <c r="C48" s="8" t="s">
        <v>345</v>
      </c>
      <c r="D48" s="8" t="s">
        <v>487</v>
      </c>
      <c r="E48" s="7"/>
      <c r="F48" s="8"/>
      <c r="G48" s="8">
        <f>IF(E48&lt;&gt;"",IF(D48="BOOL",IF(E48="Oui",TRUE,IF(E48="Non",FALSE,"")),E48),IF(F48="","",IF(D48="BOOL",IF(F48="Oui",TRUE,IF(F48="Non",FALSE,"")),F48)))</f>
        <v>0</v>
      </c>
      <c r="H48" s="11" t="s">
        <v>488</v>
      </c>
    </row>
    <row r="49" spans="1:8">
      <c r="A49" s="8" t="s">
        <v>477</v>
      </c>
      <c r="B49" s="8" t="s">
        <v>328</v>
      </c>
      <c r="C49" s="8" t="s">
        <v>489</v>
      </c>
      <c r="D49" s="8" t="s">
        <v>487</v>
      </c>
      <c r="E49" s="7"/>
      <c r="F49" s="8">
        <f>IF(Calculateurs!C35,IF(Calculateurs!C34,"Oui","Non"),"")</f>
        <v>0</v>
      </c>
      <c r="G49" s="8">
        <f>IF(E49&lt;&gt;"",IF(D49="BOOL",IF(E49="Oui",TRUE,IF(E49="Non",FALSE,"")),E49),IF(F49="","",IF(D49="BOOL",IF(F49="Oui",TRUE,IF(F49="Non",FALSE,"")),F49)))</f>
        <v>0</v>
      </c>
      <c r="H49" s="11" t="s">
        <v>490</v>
      </c>
    </row>
    <row r="50" spans="1:8">
      <c r="A50" s="8" t="s">
        <v>477</v>
      </c>
      <c r="B50" s="8" t="s">
        <v>320</v>
      </c>
      <c r="C50" s="8" t="s">
        <v>491</v>
      </c>
      <c r="D50" s="8" t="s">
        <v>487</v>
      </c>
      <c r="E50" s="7"/>
      <c r="F50" s="8">
        <f>IF(Calculateurs!C86="","",IF(Calculateurs!C86,"Oui","Non"))</f>
        <v>0</v>
      </c>
      <c r="G50" s="8">
        <f>IF(E50&lt;&gt;"",IF(D50="BOOL",IF(E50="Oui",TRUE,IF(E50="Non",FALSE,"")),E50),IF(F50="","",IF(D50="BOOL",IF(F50="Oui",TRUE,IF(F50="Non",FALSE,"")),F50)))</f>
        <v>0</v>
      </c>
      <c r="H50" s="11" t="s">
        <v>490</v>
      </c>
    </row>
    <row r="51" spans="1:8">
      <c r="A51" s="8" t="s">
        <v>477</v>
      </c>
      <c r="B51" s="8" t="s">
        <v>360</v>
      </c>
      <c r="C51" s="8" t="s">
        <v>492</v>
      </c>
      <c r="D51" s="8" t="s">
        <v>487</v>
      </c>
      <c r="E51" s="7"/>
      <c r="F51" s="8">
        <f>IF(Calculateurs!C95="","",IF(Calculateurs!C95,"Oui","Non"))</f>
        <v>0</v>
      </c>
      <c r="G51" s="8">
        <f>IF(E51&lt;&gt;"",IF(D51="BOOL",IF(E51="Oui",TRUE,IF(E51="Non",FALSE,"")),E51),IF(F51="","",IF(D51="BOOL",IF(F51="Oui",TRUE,IF(F51="Non",FALSE,"")),F51)))</f>
        <v>0</v>
      </c>
      <c r="H51" s="11" t="s">
        <v>490</v>
      </c>
    </row>
    <row r="52" spans="1:8">
      <c r="A52" s="8" t="s">
        <v>477</v>
      </c>
      <c r="B52" s="8" t="s">
        <v>337</v>
      </c>
      <c r="C52" s="8" t="s">
        <v>335</v>
      </c>
      <c r="D52" s="8" t="s">
        <v>487</v>
      </c>
      <c r="E52" s="7"/>
      <c r="F52" s="8">
        <f>IF(Calculateurs!C120="","",IF(Calculateurs!C120,"Oui","Non"))</f>
        <v>0</v>
      </c>
      <c r="G52" s="8">
        <f>IF(E52&lt;&gt;"",IF(D52="BOOL",IF(E52="Oui",TRUE,IF(E52="Non",FALSE,"")),E52),IF(F52="","",IF(D52="BOOL",IF(F52="Oui",TRUE,IF(F52="Non",FALSE,"")),F52)))</f>
        <v>0</v>
      </c>
      <c r="H52" s="11" t="s">
        <v>490</v>
      </c>
    </row>
    <row r="53" spans="1:8">
      <c r="A53" s="8"/>
      <c r="B53" s="8"/>
      <c r="C53" s="8"/>
      <c r="D53" s="8"/>
      <c r="E53" s="7"/>
      <c r="F53" s="8"/>
      <c r="G53" s="8">
        <f>IF(E53&lt;&gt;"",E53,IF(F53="","",F53))</f>
        <v>0</v>
      </c>
    </row>
    <row r="54" spans="1:8">
      <c r="A54" s="8"/>
      <c r="B54" s="8"/>
      <c r="C54" s="8"/>
      <c r="D54" s="8"/>
      <c r="E54" s="7"/>
      <c r="F54" s="8"/>
      <c r="G54" s="8">
        <f>IF(E54&lt;&gt;"",E54,IF(F54="","",F54))</f>
        <v>0</v>
      </c>
    </row>
    <row r="55" spans="1:8">
      <c r="A55" s="8"/>
      <c r="B55" s="8"/>
      <c r="C55" s="8"/>
      <c r="D55" s="8"/>
      <c r="E55" s="7"/>
      <c r="F55" s="8"/>
      <c r="G55" s="8">
        <f>IF(E55&lt;&gt;"",E55,IF(F55="","",F55))</f>
        <v>0</v>
      </c>
    </row>
    <row r="56" spans="1:8">
      <c r="A56" s="8"/>
      <c r="B56" s="8"/>
      <c r="C56" s="8"/>
      <c r="D56" s="8"/>
      <c r="E56" s="7"/>
      <c r="F56" s="8"/>
      <c r="G56" s="8">
        <f>IF(E56&lt;&gt;"",E56,IF(F56="","",F56))</f>
        <v>0</v>
      </c>
    </row>
    <row r="57" spans="1:8">
      <c r="A57" s="8"/>
      <c r="B57" s="8"/>
      <c r="C57" s="8"/>
      <c r="D57" s="8"/>
      <c r="E57" s="7"/>
      <c r="F57" s="8"/>
      <c r="G57" s="8">
        <f>IF(E57&lt;&gt;"",E57,IF(F57="","",F57))</f>
        <v>0</v>
      </c>
    </row>
    <row r="58" spans="1:8">
      <c r="A58" s="8"/>
      <c r="B58" s="8"/>
      <c r="C58" s="8"/>
      <c r="D58" s="8"/>
      <c r="E58" s="7"/>
      <c r="F58" s="8"/>
      <c r="G58" s="8">
        <f>IF(E58&lt;&gt;"",E58,IF(F58="","",F58))</f>
        <v>0</v>
      </c>
    </row>
    <row r="59" spans="1:8">
      <c r="A59" s="8"/>
      <c r="B59" s="8"/>
      <c r="C59" s="8"/>
      <c r="D59" s="8"/>
      <c r="E59" s="7"/>
      <c r="F59" s="8"/>
      <c r="G59" s="8">
        <f>IF(E59&lt;&gt;"",E59,IF(F59="","",F59))</f>
        <v>0</v>
      </c>
    </row>
    <row r="60" spans="1:8">
      <c r="A60" s="8"/>
      <c r="B60" s="8"/>
      <c r="C60" s="8"/>
      <c r="D60" s="8"/>
      <c r="E60" s="7"/>
      <c r="F60" s="8"/>
      <c r="G60" s="8">
        <f>IF(E60&lt;&gt;"",E60,IF(F60="","",F60))</f>
        <v>0</v>
      </c>
    </row>
    <row r="61" spans="1:8">
      <c r="A61" s="8"/>
      <c r="B61" s="8"/>
      <c r="C61" s="8"/>
      <c r="D61" s="8"/>
      <c r="E61" s="7"/>
      <c r="F61" s="8"/>
      <c r="G61" s="8">
        <f>IF(E61&lt;&gt;"",E61,IF(F61="","",F61))</f>
        <v>0</v>
      </c>
    </row>
    <row r="62" spans="1:8">
      <c r="A62" s="8"/>
      <c r="B62" s="8"/>
      <c r="C62" s="8"/>
      <c r="D62" s="8"/>
      <c r="E62" s="7"/>
      <c r="F62" s="8"/>
      <c r="G62" s="8">
        <f>IF(E62&lt;&gt;"",E62,IF(F62="","",F62))</f>
        <v>0</v>
      </c>
    </row>
    <row r="63" spans="1:8">
      <c r="A63" s="8"/>
      <c r="B63" s="8"/>
      <c r="C63" s="8"/>
      <c r="D63" s="8"/>
      <c r="E63" s="7"/>
      <c r="F63" s="8"/>
      <c r="G63" s="8">
        <f>IF(E63&lt;&gt;"",E63,IF(F63="","",F63))</f>
        <v>0</v>
      </c>
    </row>
    <row r="64" spans="1:8">
      <c r="A64" s="8"/>
      <c r="B64" s="8"/>
      <c r="C64" s="8"/>
      <c r="D64" s="8"/>
      <c r="E64" s="7"/>
      <c r="F64" s="8"/>
      <c r="G64" s="8">
        <f>IF(E64&lt;&gt;"",E64,IF(F64="","",F64))</f>
        <v>0</v>
      </c>
    </row>
    <row r="65" spans="1:7">
      <c r="A65" s="8"/>
      <c r="B65" s="8"/>
      <c r="C65" s="8"/>
      <c r="D65" s="8"/>
      <c r="E65" s="7"/>
      <c r="F65" s="8"/>
      <c r="G65" s="8">
        <f>IF(E65&lt;&gt;"",E65,IF(F65="","",F65))</f>
        <v>0</v>
      </c>
    </row>
    <row r="66" spans="1:7">
      <c r="A66" s="8"/>
      <c r="B66" s="8"/>
      <c r="C66" s="8"/>
      <c r="D66" s="8"/>
      <c r="E66" s="7"/>
      <c r="F66" s="8"/>
      <c r="G66" s="8">
        <f>IF(E66&lt;&gt;"",E66,IF(F66="","",F66))</f>
        <v>0</v>
      </c>
    </row>
    <row r="67" spans="1:7">
      <c r="A67" s="8"/>
      <c r="B67" s="8"/>
      <c r="C67" s="8"/>
      <c r="D67" s="8"/>
      <c r="E67" s="7"/>
      <c r="F67" s="8"/>
      <c r="G67" s="8">
        <f>IF(E67&lt;&gt;"",E67,IF(F67="","",F67))</f>
        <v>0</v>
      </c>
    </row>
    <row r="68" spans="1:7">
      <c r="A68" s="8"/>
      <c r="B68" s="8"/>
      <c r="C68" s="8"/>
      <c r="D68" s="8"/>
      <c r="E68" s="7"/>
      <c r="F68" s="8"/>
      <c r="G68" s="8">
        <f>IF(E68&lt;&gt;"",E68,IF(F68="","",F68))</f>
        <v>0</v>
      </c>
    </row>
    <row r="69" spans="1:7">
      <c r="A69" s="8"/>
      <c r="B69" s="8"/>
      <c r="C69" s="8"/>
      <c r="D69" s="8"/>
      <c r="E69" s="7"/>
      <c r="F69" s="8"/>
      <c r="G69" s="8">
        <f>IF(E69&lt;&gt;"",E69,IF(F69="","",F69))</f>
        <v>0</v>
      </c>
    </row>
    <row r="70" spans="1:7">
      <c r="A70" s="8"/>
      <c r="B70" s="8"/>
      <c r="C70" s="8"/>
      <c r="D70" s="8"/>
      <c r="E70" s="7"/>
      <c r="F70" s="8"/>
      <c r="G70" s="8">
        <f>IF(E70&lt;&gt;"",E70,IF(F70="","",F70))</f>
        <v>0</v>
      </c>
    </row>
    <row r="71" spans="1:7">
      <c r="A71" s="8"/>
      <c r="B71" s="8"/>
      <c r="C71" s="8"/>
      <c r="D71" s="8"/>
      <c r="E71" s="7"/>
      <c r="F71" s="8"/>
      <c r="G71" s="8">
        <f>IF(E71&lt;&gt;"",E71,IF(F71="","",F71))</f>
        <v>0</v>
      </c>
    </row>
    <row r="72" spans="1:7">
      <c r="A72" s="8"/>
      <c r="B72" s="8"/>
      <c r="C72" s="8"/>
      <c r="D72" s="8"/>
      <c r="E72" s="7"/>
      <c r="F72" s="8"/>
      <c r="G72" s="8">
        <f>IF(E72&lt;&gt;"",E72,IF(F72="","",F72))</f>
        <v>0</v>
      </c>
    </row>
    <row r="73" spans="1:7">
      <c r="A73" s="8"/>
      <c r="B73" s="8"/>
      <c r="C73" s="8"/>
      <c r="D73" s="8"/>
      <c r="E73" s="7"/>
      <c r="F73" s="8"/>
      <c r="G73" s="8">
        <f>IF(E73&lt;&gt;"",E73,IF(F73="","",F73))</f>
        <v>0</v>
      </c>
    </row>
    <row r="74" spans="1:7">
      <c r="A74" s="8"/>
      <c r="B74" s="8"/>
      <c r="C74" s="8"/>
      <c r="D74" s="8"/>
      <c r="E74" s="7"/>
      <c r="F74" s="8"/>
      <c r="G74" s="8">
        <f>IF(E74&lt;&gt;"",E74,IF(F74="","",F74))</f>
        <v>0</v>
      </c>
    </row>
    <row r="75" spans="1:7">
      <c r="A75" s="8"/>
      <c r="B75" s="8"/>
      <c r="C75" s="8"/>
      <c r="D75" s="8"/>
      <c r="E75" s="7"/>
      <c r="F75" s="8"/>
      <c r="G75" s="8">
        <f>IF(E75&lt;&gt;"",E75,IF(F75="","",F75))</f>
        <v>0</v>
      </c>
    </row>
    <row r="76" spans="1:7">
      <c r="A76" s="8"/>
      <c r="B76" s="8"/>
      <c r="C76" s="8"/>
      <c r="D76" s="8"/>
      <c r="E76" s="7"/>
      <c r="F76" s="8"/>
      <c r="G76" s="8">
        <f>IF(E76&lt;&gt;"",E76,IF(F76="","",F76))</f>
        <v>0</v>
      </c>
    </row>
    <row r="77" spans="1:7">
      <c r="A77" s="8"/>
      <c r="B77" s="8"/>
      <c r="C77" s="8"/>
      <c r="D77" s="8"/>
      <c r="E77" s="7"/>
      <c r="F77" s="8"/>
      <c r="G77" s="8">
        <f>IF(E77&lt;&gt;"",E77,IF(F77="","",F77))</f>
        <v>0</v>
      </c>
    </row>
    <row r="78" spans="1:7">
      <c r="A78" s="8"/>
      <c r="B78" s="8"/>
      <c r="C78" s="8"/>
      <c r="D78" s="8"/>
      <c r="E78" s="7"/>
      <c r="F78" s="8"/>
      <c r="G78" s="8">
        <f>IF(E78&lt;&gt;"",E78,IF(F78="","",F78))</f>
        <v>0</v>
      </c>
    </row>
    <row r="79" spans="1:7">
      <c r="A79" s="8"/>
      <c r="B79" s="8"/>
      <c r="C79" s="8"/>
      <c r="D79" s="8"/>
      <c r="E79" s="7"/>
      <c r="F79" s="8"/>
      <c r="G79" s="8">
        <f>IF(E79&lt;&gt;"",E79,IF(F79="","",F79))</f>
        <v>0</v>
      </c>
    </row>
    <row r="80" spans="1:7">
      <c r="A80" s="8"/>
      <c r="B80" s="8"/>
      <c r="C80" s="8"/>
      <c r="D80" s="8"/>
      <c r="E80" s="7"/>
      <c r="F80" s="8"/>
      <c r="G80" s="8">
        <f>IF(E80&lt;&gt;"",E80,IF(F80="","",F80))</f>
        <v>0</v>
      </c>
    </row>
    <row r="81" spans="1:7">
      <c r="A81" s="8"/>
      <c r="B81" s="8"/>
      <c r="C81" s="8"/>
      <c r="D81" s="8"/>
      <c r="E81" s="7"/>
      <c r="F81" s="8"/>
      <c r="G81" s="8">
        <f>IF(E81&lt;&gt;"",E81,IF(F81="","",F81))</f>
        <v>0</v>
      </c>
    </row>
    <row r="82" spans="1:7">
      <c r="A82" s="8"/>
      <c r="B82" s="8"/>
      <c r="C82" s="8"/>
      <c r="D82" s="8"/>
      <c r="E82" s="7"/>
      <c r="F82" s="8"/>
      <c r="G82" s="8">
        <f>IF(E82&lt;&gt;"",E82,IF(F82="","",F82))</f>
        <v>0</v>
      </c>
    </row>
    <row r="83" spans="1:7">
      <c r="A83" s="8"/>
      <c r="B83" s="8"/>
      <c r="C83" s="8"/>
      <c r="D83" s="8"/>
      <c r="E83" s="7"/>
      <c r="F83" s="8"/>
      <c r="G83" s="8">
        <f>IF(E83&lt;&gt;"",E83,IF(F83="","",F83))</f>
        <v>0</v>
      </c>
    </row>
    <row r="84" spans="1:7">
      <c r="A84" s="8"/>
      <c r="B84" s="8"/>
      <c r="C84" s="8"/>
      <c r="D84" s="8"/>
      <c r="E84" s="7"/>
      <c r="F84" s="8"/>
      <c r="G84" s="8">
        <f>IF(E84&lt;&gt;"",E84,IF(F84="","",F84))</f>
        <v>0</v>
      </c>
    </row>
    <row r="85" spans="1:7">
      <c r="A85" s="8"/>
      <c r="B85" s="8"/>
      <c r="C85" s="8"/>
      <c r="D85" s="8"/>
      <c r="E85" s="7"/>
      <c r="F85" s="8"/>
      <c r="G85" s="8">
        <f>IF(E85&lt;&gt;"",E85,IF(F85="","",F85))</f>
        <v>0</v>
      </c>
    </row>
    <row r="86" spans="1:7">
      <c r="A86" s="8"/>
      <c r="B86" s="8"/>
      <c r="C86" s="8"/>
      <c r="D86" s="8"/>
      <c r="E86" s="7"/>
      <c r="F86" s="8"/>
      <c r="G86" s="8">
        <f>IF(E86&lt;&gt;"",E86,IF(F86="","",F86))</f>
        <v>0</v>
      </c>
    </row>
    <row r="87" spans="1:7">
      <c r="A87" s="8"/>
      <c r="B87" s="8"/>
      <c r="C87" s="8"/>
      <c r="D87" s="8"/>
      <c r="E87" s="7"/>
      <c r="F87" s="8"/>
      <c r="G87" s="8">
        <f>IF(E87&lt;&gt;"",E87,IF(F87="","",F87))</f>
        <v>0</v>
      </c>
    </row>
    <row r="88" spans="1:7">
      <c r="A88" s="8"/>
      <c r="B88" s="8"/>
      <c r="C88" s="8"/>
      <c r="D88" s="8"/>
      <c r="E88" s="7"/>
      <c r="F88" s="8"/>
      <c r="G88" s="8">
        <f>IF(E88&lt;&gt;"",E88,IF(F88="","",F88))</f>
        <v>0</v>
      </c>
    </row>
    <row r="89" spans="1:7">
      <c r="A89" s="8"/>
      <c r="B89" s="8"/>
      <c r="C89" s="8"/>
      <c r="D89" s="8"/>
      <c r="E89" s="7"/>
      <c r="F89" s="8"/>
      <c r="G89" s="8">
        <f>IF(E89&lt;&gt;"",E89,IF(F89="","",F89))</f>
        <v>0</v>
      </c>
    </row>
    <row r="90" spans="1:7">
      <c r="A90" s="8"/>
      <c r="B90" s="8"/>
      <c r="C90" s="8"/>
      <c r="D90" s="8"/>
      <c r="E90" s="7"/>
      <c r="F90" s="8"/>
      <c r="G90" s="8">
        <f>IF(E90&lt;&gt;"",E90,IF(F90="","",F90))</f>
        <v>0</v>
      </c>
    </row>
    <row r="91" spans="1:7">
      <c r="A91" s="8"/>
      <c r="B91" s="8"/>
      <c r="C91" s="8"/>
      <c r="D91" s="8"/>
      <c r="E91" s="7"/>
      <c r="F91" s="8"/>
      <c r="G91" s="8">
        <f>IF(E91&lt;&gt;"",E91,IF(F91="","",F91))</f>
        <v>0</v>
      </c>
    </row>
    <row r="92" spans="1:7">
      <c r="A92" s="8"/>
      <c r="B92" s="8"/>
      <c r="C92" s="8"/>
      <c r="D92" s="8"/>
      <c r="E92" s="7"/>
      <c r="F92" s="8"/>
      <c r="G92" s="8">
        <f>IF(E92&lt;&gt;"",E92,IF(F92="","",F92))</f>
        <v>0</v>
      </c>
    </row>
  </sheetData>
  <dataValidations count="20">
    <dataValidation type="list" errorStyle="warning" allowBlank="1" showInputMessage="1" showErrorMessage="1" sqref="C6">
      <formula1>P_SegCodes</formula1>
    </dataValidation>
    <dataValidation type="list" errorStyle="warning" allowBlank="1" showInputMessage="1" showErrorMessage="1" sqref="C7">
      <formula1>P_ZoneCodes</formula1>
    </dataValidation>
    <dataValidation type="list" allowBlank="1" showInputMessage="1" showErrorMessage="1" sqref="C8">
      <formula1>P_ClsCodes</formula1>
    </dataValidation>
    <dataValidation type="list" allowBlank="1" showInputMessage="1" showErrorMessage="1" sqref="C9">
      <formula1>P_PhaseCodes</formula1>
    </dataValidation>
    <dataValidation type="list" errorStyle="warning" allowBlank="1" showInputMessage="1" showErrorMessage="1" sqref="E15">
      <formula1>"opaque,partielle,claire"</formula1>
    </dataValidation>
    <dataValidation type="list" errorStyle="warning" allowBlank="1" showInputMessage="1" showErrorMessage="1" sqref="E17">
      <formula1>"opportuniste,regional,structure"</formula1>
    </dataValidation>
    <dataValidation type="list" errorStyle="warning" allowBlank="1" showInputMessage="1" showErrorMessage="1" sqref="E19">
      <formula1>"absentes,partielles,definitives"</formula1>
    </dataValidation>
    <dataValidation type="list" errorStyle="warning" allowBlank="1" showInputMessage="1" showErrorMessage="1" sqref="E20">
      <formula1>"sur_positionne,moyen,aligne"</formula1>
    </dataValidation>
    <dataValidation type="list" errorStyle="warning" allowBlank="1" showInputMessage="1" showErrorMessage="1" sqref="E21">
      <formula1>"elevee,moyenne,standard"</formula1>
    </dataValidation>
    <dataValidation type="list" errorStyle="warning" allowBlank="1" showInputMessage="1" showErrorMessage="1" sqref="E23">
      <formula1>"eleve,moyen,faible"</formula1>
    </dataValidation>
    <dataValidation type="list" errorStyle="warning" allowBlank="1" showInputMessage="1" showErrorMessage="1" sqref="E24">
      <formula1>"elevee,moyenne,faible"</formula1>
    </dataValidation>
    <dataValidation type="list" errorStyle="warning" allowBlank="1" showInputMessage="1" showErrorMessage="1" sqref="E39">
      <formula1>"non,oui"</formula1>
    </dataValidation>
    <dataValidation type="list" errorStyle="warning" allowBlank="1" showInputMessage="1" showErrorMessage="1" sqref="E45">
      <formula1>"yes,no"</formula1>
    </dataValidation>
    <dataValidation type="list" errorStyle="warning" allowBlank="1" showInputMessage="1" showErrorMessage="1" sqref="E46">
      <formula1>"clear,watch,litigation"</formula1>
    </dataValidation>
    <dataValidation type="list" allowBlank="1" showInputMessage="1" showErrorMessage="1" sqref="E47">
      <formula1>"Oui,Non"</formula1>
    </dataValidation>
    <dataValidation type="list" allowBlank="1" showInputMessage="1" showErrorMessage="1" sqref="E48">
      <formula1>"Oui,Non"</formula1>
    </dataValidation>
    <dataValidation type="list" allowBlank="1" showInputMessage="1" showErrorMessage="1" sqref="E49">
      <formula1>"Oui,Non"</formula1>
    </dataValidation>
    <dataValidation type="list" allowBlank="1" showInputMessage="1" showErrorMessage="1" sqref="E50">
      <formula1>"Oui,Non"</formula1>
    </dataValidation>
    <dataValidation type="list" allowBlank="1" showInputMessage="1" showErrorMessage="1" sqref="E51">
      <formula1>"Oui,Non"</formula1>
    </dataValidation>
    <dataValidation type="list" allowBlank="1" showInputMessage="1" showErrorMessage="1" sqref="E52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S13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40.7109375" customWidth="1"/>
    <col min="4" max="4" width="26.7109375" customWidth="1"/>
    <col min="5" max="5" width="14.7109375" customWidth="1"/>
    <col min="6" max="6" width="12.7109375" customWidth="1"/>
    <col min="7" max="7" width="40.7109375" customWidth="1"/>
    <col min="8" max="8" width="22.7109375" customWidth="1"/>
    <col min="9" max="19" width="12.7109375" customWidth="1"/>
  </cols>
  <sheetData>
    <row r="1" spans="1:8">
      <c r="A1" s="1" t="s">
        <v>539</v>
      </c>
    </row>
    <row r="2" spans="1:8">
      <c r="A2" s="2">
        <f>"Modèle "&amp;P_Version&amp;" — "&amp;Saisie!C4&amp;" "&amp;Saisie!C5</f>
        <v>0</v>
      </c>
    </row>
    <row r="5" spans="1:8">
      <c r="E5" s="12" t="s">
        <v>563</v>
      </c>
      <c r="F5" s="5" t="s">
        <v>564</v>
      </c>
      <c r="G5" s="5"/>
    </row>
    <row r="6" spans="1:8" ht="30" customHeight="1">
      <c r="A6" s="6" t="s">
        <v>540</v>
      </c>
      <c r="C6" s="13">
        <f>IF(E28,0,ROUND(MIN(100,MAX(0,C13*C14)),2))</f>
        <v>0</v>
      </c>
      <c r="F6" s="8" t="s">
        <v>565</v>
      </c>
      <c r="H6" s="8">
        <f>IF(Saisie!C9="","(non renseignée)",Saisie!C9)</f>
        <v>0</v>
      </c>
    </row>
    <row r="7" spans="1:8" ht="24" customHeight="1">
      <c r="A7" s="6" t="s">
        <v>541</v>
      </c>
      <c r="C7" s="14">
        <f>IF(E28,"NO_GO",IF(E21,"NO_GO",IF(E22,"NO_GO",IF(E23,"DOSSIER_INCOMPLET",IF(E20,"NO_GO",IF(C6&gt;=P_GO,"GO",IF(C6&gt;=P_GWC,"GO_WITH_CONDITIONS",IF(C6&gt;=P_WATCH,"WATCH_LIST","NO_GO"))))))))</f>
        <v>0</v>
      </c>
      <c r="F7" s="8" t="s">
        <v>566</v>
      </c>
      <c r="H7" s="8">
        <f>IF(Saisie!C9="","",IF(SUM(F32:F39)=0,"",ROUND(SUM(G32:G39)/SUM(F32:F39),2)))</f>
        <v>0</v>
      </c>
    </row>
    <row r="8" spans="1:8" ht="24" customHeight="1">
      <c r="A8" s="6" t="s">
        <v>542</v>
      </c>
      <c r="C8" s="14">
        <f>IF(E28,"Souffrance",IF(E21,"Souffrance",IF(E22,"Défaut avéré",IF(E23,"Dossier incomplet",IF(C6&gt;=P_GO,"Sain",IF(C6&gt;=P_GWC,"Surveillance",IF(C6&gt;=P_WATCH,"Sensible probable","Sensible")))))))</f>
        <v>0</v>
      </c>
      <c r="F8" s="8" t="s">
        <v>567</v>
      </c>
      <c r="H8" s="8">
        <f>IF(H7="","",ROUND(H7-C10,2))</f>
        <v>0</v>
      </c>
    </row>
    <row r="9" spans="1:8">
      <c r="A9" s="6" t="s">
        <v>543</v>
      </c>
      <c r="C9" s="15">
        <f>ROUND(1/(1+EXP(-(P_PDa-P_PDb*C6))),4)</f>
        <v>0</v>
      </c>
      <c r="F9" s="8" t="s">
        <v>568</v>
      </c>
      <c r="H9" s="8">
        <f>ROUND(MIN(100,MAX(0,C10)),2)</f>
        <v>0</v>
      </c>
    </row>
    <row r="10" spans="1:8">
      <c r="A10" s="6" t="s">
        <v>544</v>
      </c>
      <c r="C10" s="16">
        <f>IF(SUM(D32:D39)=0,0,ROUND(SUM(E32:E39)/SUM(D32:D39),2))</f>
        <v>0</v>
      </c>
      <c r="F10" s="8" t="s">
        <v>569</v>
      </c>
      <c r="H10" s="8">
        <f>ROUND(C11-H9,2)</f>
        <v>0</v>
      </c>
    </row>
    <row r="11" spans="1:8">
      <c r="A11" s="6" t="s">
        <v>545</v>
      </c>
      <c r="C11" s="16">
        <f>ROUND(MIN(100,MAX(0,C10*(1+C17+C18))),2)</f>
        <v>0</v>
      </c>
    </row>
    <row r="12" spans="1:8">
      <c r="A12" s="6" t="s">
        <v>546</v>
      </c>
      <c r="C12" s="16">
        <f>SUM(J108:J137)</f>
        <v>0</v>
      </c>
    </row>
    <row r="13" spans="1:8">
      <c r="A13" s="6" t="s">
        <v>547</v>
      </c>
      <c r="C13" s="16">
        <f>ROUND(MIN(100,MAX(0,C11-C12)),2)</f>
        <v>0</v>
      </c>
    </row>
    <row r="14" spans="1:8">
      <c r="A14" s="6" t="s">
        <v>548</v>
      </c>
      <c r="C14" s="16">
        <f>IF(Saisie!C8="",1,IFERROR(VLOOKUP(Saisie!C8,P_Classes,5,FALSE),1))</f>
        <v>0</v>
      </c>
    </row>
    <row r="15" spans="1:8">
      <c r="A15" s="6" t="s">
        <v>549</v>
      </c>
      <c r="C15" s="16">
        <f>IFERROR(ROUND(SUMPRODUCT($Q$44:$Q$103*($N$44:$N$103&lt;&gt;"GUARANTEE")*$F$44:$F$103)/SUMPRODUCT($Q$44:$Q$103*($N$44:$N$103&lt;&gt;"GUARANTEE"))/P_Scale*100,2),C10)</f>
        <v>0</v>
      </c>
    </row>
    <row r="16" spans="1:8">
      <c r="A16" s="6" t="s">
        <v>550</v>
      </c>
      <c r="C16" s="16">
        <f>IFERROR(ROUND(SUMPRODUCT($Q$44:$Q$103*($N$44:$N$103="GUARANTEE")*$F$44:$F$103)/SUMPRODUCT($Q$44:$Q$103*($N$44:$N$103="GUARANTEE"))/P_Scale*100,2),"n/a")</f>
        <v>0</v>
      </c>
    </row>
    <row r="17" spans="1:7">
      <c r="A17" s="6" t="s">
        <v>551</v>
      </c>
      <c r="C17" s="15">
        <f>IF(Saisie!C6="",0,IFERROR(VLOOKUP(Saisie!C6,P_SegTbl,3,FALSE),0))</f>
        <v>0</v>
      </c>
    </row>
    <row r="18" spans="1:7">
      <c r="A18" s="6" t="s">
        <v>552</v>
      </c>
      <c r="C18" s="15">
        <f>IF(Saisie!C7="",0,IFERROR(VLOOKUP(Saisie!C7,P_ZoneTbl,3,FALSE),0))</f>
        <v>0</v>
      </c>
    </row>
    <row r="19" spans="1:7">
      <c r="A19" s="6" t="s">
        <v>553</v>
      </c>
      <c r="C19" s="8">
        <f>IF(E19,"Oui — à signaler","Non")</f>
        <v>0</v>
      </c>
      <c r="E19" s="12">
        <f>OR(AND(Saisie!C6&lt;&gt;"",ISNA(MATCH(Saisie!C6,P_SegCodes,0))),AND(Saisie!C7&lt;&gt;"",ISNA(MATCH(Saisie!C7,P_ZoneCodes,0))))</f>
        <v>0</v>
      </c>
    </row>
    <row r="20" spans="1:7">
      <c r="A20" s="6" t="s">
        <v>554</v>
      </c>
      <c r="C20" s="8">
        <f>IF(E20,"Oui","Non")</f>
        <v>0</v>
      </c>
      <c r="E20" s="12">
        <f>OR(I44:I103)</f>
        <v>0</v>
      </c>
    </row>
    <row r="21" spans="1:7">
      <c r="A21" s="6" t="s">
        <v>555</v>
      </c>
      <c r="C21" s="8">
        <f>IF(E21,"Oui","Non")</f>
        <v>0</v>
      </c>
      <c r="E21" s="12">
        <f>SUMPRODUCT((C108:C137="BLOCKING")*(H108:H137=TRUE))&gt;0</f>
        <v>0</v>
      </c>
    </row>
    <row r="22" spans="1:7">
      <c r="A22" s="6" t="s">
        <v>556</v>
      </c>
      <c r="C22" s="8">
        <f>IF(E22,"Oui","Non")</f>
        <v>0</v>
      </c>
      <c r="E22" s="12">
        <f>OR(IFERROR(VLOOKUP(Saisie!C8,P_Classes,3,FALSE)="Oui",FALSE),Saisie!C8="CTX")</f>
        <v>0</v>
      </c>
    </row>
    <row r="23" spans="1:7">
      <c r="A23" s="6" t="s">
        <v>557</v>
      </c>
      <c r="C23" s="8">
        <f>IF(E23,"Oui","Non")</f>
        <v>0</v>
      </c>
      <c r="E23" s="12">
        <f>OR(Saisie!C8="",J43,SUMPRODUCT((J44:J103=TRUE)*1)&gt;0,SUMPRODUCT((L108:L137=TRUE)*1)&gt;0)</f>
        <v>0</v>
      </c>
    </row>
    <row r="24" spans="1:7">
      <c r="A24" s="6" t="s">
        <v>558</v>
      </c>
      <c r="C24" s="8">
        <f>IF(C6=C6,SUBSTITUTE(M137,",",", "),"")</f>
        <v>0</v>
      </c>
    </row>
    <row r="25" spans="1:7">
      <c r="A25" s="6" t="s">
        <v>559</v>
      </c>
      <c r="C25" s="8">
        <f>S103</f>
        <v>0</v>
      </c>
    </row>
    <row r="26" spans="1:7">
      <c r="A26" s="6" t="s">
        <v>560</v>
      </c>
      <c r="C26" s="8">
        <f>N137</f>
        <v>0</v>
      </c>
    </row>
    <row r="27" spans="1:7">
      <c r="A27" s="6" t="s">
        <v>561</v>
      </c>
      <c r="C27" s="8">
        <f>IF(E27,"Oui","Non")</f>
        <v>0</v>
      </c>
      <c r="E27" s="12">
        <f>OR(K108:K137)</f>
        <v>0</v>
      </c>
    </row>
    <row r="28" spans="1:7">
      <c r="A28" s="6" t="s">
        <v>562</v>
      </c>
      <c r="C28" s="8">
        <f>IF(E28,"Oui","Non")</f>
        <v>0</v>
      </c>
      <c r="E28" s="12">
        <f>OR(IFERROR(VLOOKUP(Saisie!C8,P_Classes,4,FALSE)="Oui",FALSE),Saisie!C8="CTX")</f>
        <v>0</v>
      </c>
    </row>
    <row r="30" spans="1:7">
      <c r="A30" s="5" t="s">
        <v>570</v>
      </c>
    </row>
    <row r="31" spans="1:7">
      <c r="A31" s="10" t="s">
        <v>17</v>
      </c>
      <c r="B31" s="10" t="s">
        <v>96</v>
      </c>
      <c r="C31" s="10" t="s">
        <v>571</v>
      </c>
      <c r="D31" s="10" t="s">
        <v>19</v>
      </c>
      <c r="E31" s="10" t="s">
        <v>572</v>
      </c>
      <c r="F31" s="10" t="s">
        <v>573</v>
      </c>
      <c r="G31" s="10" t="s">
        <v>574</v>
      </c>
    </row>
    <row r="32" spans="1:7">
      <c r="A32" s="8">
        <f>IF(P_General!A16="","",P_General!A16)</f>
        <v>0</v>
      </c>
      <c r="B32" s="8">
        <f>IF($A32="","",P_General!B16)</f>
        <v>0</v>
      </c>
      <c r="C32" s="16">
        <f>IF($A32="",0,IF(SUMIF($B$44:$B$103,$A32,$G$44:$G$103)&gt;0,ROUND(SUMIF($B$44:$B$103,$A32,$H$44:$H$103)/SUMIF($B$44:$B$103,$A32,$G$44:$G$103)/P_Scale*100,2),0))</f>
        <v>0</v>
      </c>
      <c r="D32" s="16">
        <f>IF($A32="",0,P_General!C16)</f>
        <v>0</v>
      </c>
      <c r="E32" s="16">
        <f>IF($A32="",0,ROUND(C32*D32,2))</f>
        <v>0</v>
      </c>
      <c r="F32" s="16">
        <f>IF($A32="",0,IFERROR(INDEX(P_PhaseTbl,MATCH(Saisie!$C$9,P_PhaseCodes,0),MATCH($A32,P_PhaseHdr,0)+1),0))</f>
        <v>0</v>
      </c>
      <c r="G32" s="16">
        <f>ROUND(C32*F32,2)</f>
        <v>0</v>
      </c>
    </row>
    <row r="33" spans="1:19">
      <c r="A33" s="8">
        <f>IF(P_General!A17="","",P_General!A17)</f>
        <v>0</v>
      </c>
      <c r="B33" s="8">
        <f>IF($A33="","",P_General!B17)</f>
        <v>0</v>
      </c>
      <c r="C33" s="16">
        <f>IF($A33="",0,IF(SUMIF($B$44:$B$103,$A33,$G$44:$G$103)&gt;0,ROUND(SUMIF($B$44:$B$103,$A33,$H$44:$H$103)/SUMIF($B$44:$B$103,$A33,$G$44:$G$103)/P_Scale*100,2),0))</f>
        <v>0</v>
      </c>
      <c r="D33" s="16">
        <f>IF($A33="",0,P_General!C17)</f>
        <v>0</v>
      </c>
      <c r="E33" s="16">
        <f>IF($A33="",0,ROUND(C33*D33,2))</f>
        <v>0</v>
      </c>
      <c r="F33" s="16">
        <f>IF($A33="",0,IFERROR(INDEX(P_PhaseTbl,MATCH(Saisie!$C$9,P_PhaseCodes,0),MATCH($A33,P_PhaseHdr,0)+1),0))</f>
        <v>0</v>
      </c>
      <c r="G33" s="16">
        <f>ROUND(C33*F33,2)</f>
        <v>0</v>
      </c>
    </row>
    <row r="34" spans="1:19">
      <c r="A34" s="8">
        <f>IF(P_General!A18="","",P_General!A18)</f>
        <v>0</v>
      </c>
      <c r="B34" s="8">
        <f>IF($A34="","",P_General!B18)</f>
        <v>0</v>
      </c>
      <c r="C34" s="16">
        <f>IF($A34="",0,IF(SUMIF($B$44:$B$103,$A34,$G$44:$G$103)&gt;0,ROUND(SUMIF($B$44:$B$103,$A34,$H$44:$H$103)/SUMIF($B$44:$B$103,$A34,$G$44:$G$103)/P_Scale*100,2),0))</f>
        <v>0</v>
      </c>
      <c r="D34" s="16">
        <f>IF($A34="",0,P_General!C18)</f>
        <v>0</v>
      </c>
      <c r="E34" s="16">
        <f>IF($A34="",0,ROUND(C34*D34,2))</f>
        <v>0</v>
      </c>
      <c r="F34" s="16">
        <f>IF($A34="",0,IFERROR(INDEX(P_PhaseTbl,MATCH(Saisie!$C$9,P_PhaseCodes,0),MATCH($A34,P_PhaseHdr,0)+1),0))</f>
        <v>0</v>
      </c>
      <c r="G34" s="16">
        <f>ROUND(C34*F34,2)</f>
        <v>0</v>
      </c>
    </row>
    <row r="35" spans="1:19">
      <c r="A35" s="8">
        <f>IF(P_General!A19="","",P_General!A19)</f>
        <v>0</v>
      </c>
      <c r="B35" s="8">
        <f>IF($A35="","",P_General!B19)</f>
        <v>0</v>
      </c>
      <c r="C35" s="16">
        <f>IF($A35="",0,IF(SUMIF($B$44:$B$103,$A35,$G$44:$G$103)&gt;0,ROUND(SUMIF($B$44:$B$103,$A35,$H$44:$H$103)/SUMIF($B$44:$B$103,$A35,$G$44:$G$103)/P_Scale*100,2),0))</f>
        <v>0</v>
      </c>
      <c r="D35" s="16">
        <f>IF($A35="",0,P_General!C19)</f>
        <v>0</v>
      </c>
      <c r="E35" s="16">
        <f>IF($A35="",0,ROUND(C35*D35,2))</f>
        <v>0</v>
      </c>
      <c r="F35" s="16">
        <f>IF($A35="",0,IFERROR(INDEX(P_PhaseTbl,MATCH(Saisie!$C$9,P_PhaseCodes,0),MATCH($A35,P_PhaseHdr,0)+1),0))</f>
        <v>0</v>
      </c>
      <c r="G35" s="16">
        <f>ROUND(C35*F35,2)</f>
        <v>0</v>
      </c>
    </row>
    <row r="36" spans="1:19">
      <c r="A36" s="8">
        <f>IF(P_General!A20="","",P_General!A20)</f>
        <v>0</v>
      </c>
      <c r="B36" s="8">
        <f>IF($A36="","",P_General!B20)</f>
        <v>0</v>
      </c>
      <c r="C36" s="16">
        <f>IF($A36="",0,IF(SUMIF($B$44:$B$103,$A36,$G$44:$G$103)&gt;0,ROUND(SUMIF($B$44:$B$103,$A36,$H$44:$H$103)/SUMIF($B$44:$B$103,$A36,$G$44:$G$103)/P_Scale*100,2),0))</f>
        <v>0</v>
      </c>
      <c r="D36" s="16">
        <f>IF($A36="",0,P_General!C20)</f>
        <v>0</v>
      </c>
      <c r="E36" s="16">
        <f>IF($A36="",0,ROUND(C36*D36,2))</f>
        <v>0</v>
      </c>
      <c r="F36" s="16">
        <f>IF($A36="",0,IFERROR(INDEX(P_PhaseTbl,MATCH(Saisie!$C$9,P_PhaseCodes,0),MATCH($A36,P_PhaseHdr,0)+1),0))</f>
        <v>0</v>
      </c>
      <c r="G36" s="16">
        <f>ROUND(C36*F36,2)</f>
        <v>0</v>
      </c>
    </row>
    <row r="37" spans="1:19">
      <c r="A37" s="8">
        <f>IF(P_General!A21="","",P_General!A21)</f>
        <v>0</v>
      </c>
      <c r="B37" s="8">
        <f>IF($A37="","",P_General!B21)</f>
        <v>0</v>
      </c>
      <c r="C37" s="16">
        <f>IF($A37="",0,IF(SUMIF($B$44:$B$103,$A37,$G$44:$G$103)&gt;0,ROUND(SUMIF($B$44:$B$103,$A37,$H$44:$H$103)/SUMIF($B$44:$B$103,$A37,$G$44:$G$103)/P_Scale*100,2),0))</f>
        <v>0</v>
      </c>
      <c r="D37" s="16">
        <f>IF($A37="",0,P_General!C21)</f>
        <v>0</v>
      </c>
      <c r="E37" s="16">
        <f>IF($A37="",0,ROUND(C37*D37,2))</f>
        <v>0</v>
      </c>
      <c r="F37" s="16">
        <f>IF($A37="",0,IFERROR(INDEX(P_PhaseTbl,MATCH(Saisie!$C$9,P_PhaseCodes,0),MATCH($A37,P_PhaseHdr,0)+1),0))</f>
        <v>0</v>
      </c>
      <c r="G37" s="16">
        <f>ROUND(C37*F37,2)</f>
        <v>0</v>
      </c>
    </row>
    <row r="38" spans="1:19">
      <c r="A38" s="8">
        <f>IF(P_General!A22="","",P_General!A22)</f>
        <v>0</v>
      </c>
      <c r="B38" s="8">
        <f>IF($A38="","",P_General!B22)</f>
        <v>0</v>
      </c>
      <c r="C38" s="16">
        <f>IF($A38="",0,IF(SUMIF($B$44:$B$103,$A38,$G$44:$G$103)&gt;0,ROUND(SUMIF($B$44:$B$103,$A38,$H$44:$H$103)/SUMIF($B$44:$B$103,$A38,$G$44:$G$103)/P_Scale*100,2),0))</f>
        <v>0</v>
      </c>
      <c r="D38" s="16">
        <f>IF($A38="",0,P_General!C22)</f>
        <v>0</v>
      </c>
      <c r="E38" s="16">
        <f>IF($A38="",0,ROUND(C38*D38,2))</f>
        <v>0</v>
      </c>
      <c r="F38" s="16">
        <f>IF($A38="",0,IFERROR(INDEX(P_PhaseTbl,MATCH(Saisie!$C$9,P_PhaseCodes,0),MATCH($A38,P_PhaseHdr,0)+1),0))</f>
        <v>0</v>
      </c>
      <c r="G38" s="16">
        <f>ROUND(C38*F38,2)</f>
        <v>0</v>
      </c>
    </row>
    <row r="39" spans="1:19">
      <c r="A39" s="8">
        <f>IF(P_General!A23="","",P_General!A23)</f>
        <v>0</v>
      </c>
      <c r="B39" s="8">
        <f>IF($A39="","",P_General!B23)</f>
        <v>0</v>
      </c>
      <c r="C39" s="16">
        <f>IF($A39="",0,IF(SUMIF($B$44:$B$103,$A39,$G$44:$G$103)&gt;0,ROUND(SUMIF($B$44:$B$103,$A39,$H$44:$H$103)/SUMIF($B$44:$B$103,$A39,$G$44:$G$103)/P_Scale*100,2),0))</f>
        <v>0</v>
      </c>
      <c r="D39" s="16">
        <f>IF($A39="",0,P_General!C23)</f>
        <v>0</v>
      </c>
      <c r="E39" s="16">
        <f>IF($A39="",0,ROUND(C39*D39,2))</f>
        <v>0</v>
      </c>
      <c r="F39" s="16">
        <f>IF($A39="",0,IFERROR(INDEX(P_PhaseTbl,MATCH(Saisie!$C$9,P_PhaseCodes,0),MATCH($A39,P_PhaseHdr,0)+1),0))</f>
        <v>0</v>
      </c>
      <c r="G39" s="16">
        <f>ROUND(C39*F39,2)</f>
        <v>0</v>
      </c>
    </row>
    <row r="41" spans="1:19">
      <c r="A41" s="5" t="s">
        <v>575</v>
      </c>
    </row>
    <row r="42" spans="1:19">
      <c r="A42" s="10" t="s">
        <v>17</v>
      </c>
      <c r="B42" s="10" t="s">
        <v>96</v>
      </c>
      <c r="C42" s="10" t="s">
        <v>204</v>
      </c>
      <c r="D42" s="10" t="s">
        <v>576</v>
      </c>
      <c r="E42" s="10" t="s">
        <v>3</v>
      </c>
      <c r="F42" s="10" t="s">
        <v>577</v>
      </c>
      <c r="G42" s="10" t="s">
        <v>19</v>
      </c>
      <c r="H42" s="10" t="s">
        <v>578</v>
      </c>
      <c r="I42" s="10" t="s">
        <v>579</v>
      </c>
      <c r="J42" s="10" t="s">
        <v>580</v>
      </c>
      <c r="K42" s="10" t="s">
        <v>581</v>
      </c>
      <c r="L42" s="10" t="s">
        <v>582</v>
      </c>
      <c r="M42" s="10" t="s">
        <v>583</v>
      </c>
      <c r="N42" s="10" t="s">
        <v>102</v>
      </c>
      <c r="O42" s="10" t="s">
        <v>97</v>
      </c>
      <c r="P42" s="10" t="s">
        <v>584</v>
      </c>
      <c r="Q42" s="10" t="s">
        <v>585</v>
      </c>
      <c r="R42" s="10" t="s">
        <v>586</v>
      </c>
      <c r="S42" s="10" t="s">
        <v>587</v>
      </c>
    </row>
    <row r="43" spans="1:19">
      <c r="A43" s="8" t="s">
        <v>588</v>
      </c>
      <c r="D43" s="8">
        <f>P_ExtraKey</f>
        <v>0</v>
      </c>
      <c r="E43" s="8">
        <f>IF(D43="","",IFERROR(INDEX(In_Retenue,MATCH(D43,In_Cles,0)),""))</f>
        <v>0</v>
      </c>
      <c r="J43" s="8">
        <f>AND(D43&lt;&gt;"",E43="")</f>
        <v>0</v>
      </c>
      <c r="R43" s="8">
        <f>IF(J43,D43,"")</f>
        <v>0</v>
      </c>
      <c r="S43" s="8">
        <f>""</f>
        <v>0</v>
      </c>
    </row>
    <row r="44" spans="1:19">
      <c r="A44" s="8">
        <f>IF(P_Criteres!A5="","",P_Criteres!A5)</f>
        <v>0</v>
      </c>
      <c r="B44" s="8">
        <f>IF($A44="","",P_Criteres!B5)</f>
        <v>0</v>
      </c>
      <c r="C44" s="8">
        <f>IF($A44="","",P_Criteres!C5)</f>
        <v>0</v>
      </c>
      <c r="D44" s="8">
        <f>IF($A44="","",P_Criteres!F5)</f>
        <v>0</v>
      </c>
      <c r="E44" s="8">
        <f>IF($A44="","",IFERROR(INDEX(In_Retenue,MATCH($D44,In_Cles,0)),""))</f>
        <v>0</v>
      </c>
      <c r="F44" s="16">
        <f>IF($A44="",0,ROUND(MIN(P_Scale,MAX(0,IF($L44=0,$K44,$M44))),2))</f>
        <v>0</v>
      </c>
      <c r="G44" s="16">
        <f>IF($A44="",0,P_Criteres!E5)</f>
        <v>0</v>
      </c>
      <c r="H44" s="16">
        <f>ROUND(F44*G44,2)</f>
        <v>0</v>
      </c>
      <c r="I44" s="8">
        <f>IF($A44="",FALSE,AND(P_Criteres!G5="Oui",ISNUMBER(P_Criteres!H5),F44&lt;=N(P_Criteres!H5)))</f>
        <v>0</v>
      </c>
      <c r="J44" s="8">
        <f>IF($A44="",FALSE,AND(OR(P_Criteres!G5="Oui",P_Criteres!K5="Oui"),$E44=""))</f>
        <v>0</v>
      </c>
      <c r="K44" s="16">
        <f t="array" ref="K44">IF($A44="",0,MIN(IF(P_Baremes!$A$5:$A$400=$A44,P_Baremes!$H$5:$H$400)))</f>
        <v>0</v>
      </c>
      <c r="L44" s="16">
        <f>IF($A44="",0,IF($O44="NUM",IF(ISNUMBER($E44),SUMPRODUCT((P_Baremes!$A$5:$A$400=$A44)*(P_Baremes!$B$5:$B$400="PLAGE")*(((P_Baremes!$D$5:$D$400="")+($E44&gt;=P_Baremes!$D$5:$D$400))&gt;0)*(((P_Baremes!$E$5:$E$400="")+($E44&lt;P_Baremes!$E$5:$E$400))&gt;0)),0),SUMPRODUCT((P_Baremes!$A$5:$A$400=$A44)*(P_Baremes!$B$5:$B$400="MODALITE")*(P_Baremes!$C$5:$C$400=$E44))))</f>
        <v>0</v>
      </c>
      <c r="M44" s="16">
        <f>IF($A44="",0,IF($L44=0,0,IF($O44="NUM",SUMPRODUCT((P_Baremes!$A$5:$A$400=$A44)*(P_Baremes!$B$5:$B$400="PLAGE")*(((P_Baremes!$D$5:$D$400="")+($E44&gt;=P_Baremes!$D$5:$D$400))&gt;0)*(((P_Baremes!$E$5:$E$400="")+($E44&lt;P_Baremes!$E$5:$E$400))&gt;0)*P_Baremes!$H$5:$H$400),SUMPRODUCT((P_Baremes!$A$5:$A$400=$A44)*(P_Baremes!$B$5:$B$400="MODALITE")*(P_Baremes!$C$5:$C$400=$E44)*P_Baremes!$H$5:$H$400))))</f>
        <v>0</v>
      </c>
      <c r="N44" s="8">
        <f>IF($A44="","",P_Criteres!J5)</f>
        <v>0</v>
      </c>
      <c r="O44" s="8">
        <f>IF($A44="","",P_Criteres!D5)</f>
        <v>0</v>
      </c>
      <c r="P44" s="16">
        <f>IF($A44="",0,IFERROR(INDEX(P_DomPoids,MATCH($B44,P_DomCodes,0)),0))</f>
        <v>0</v>
      </c>
      <c r="Q44" s="16">
        <f>P44*G44</f>
        <v>0</v>
      </c>
      <c r="R44" s="8">
        <f>IF(J44,IF(ISNUMBER(SEARCH(","&amp;D44&amp;",",","&amp;R43&amp;",")),R43,R43&amp;IF(R43="","",",")&amp;D44),R43)</f>
        <v>0</v>
      </c>
      <c r="S44" s="8">
        <f>IF(I44,S43&amp;IF(S43="","",", ")&amp;A44,S43)</f>
        <v>0</v>
      </c>
    </row>
    <row r="45" spans="1:19">
      <c r="A45" s="8">
        <f>IF(P_Criteres!A6="","",P_Criteres!A6)</f>
        <v>0</v>
      </c>
      <c r="B45" s="8">
        <f>IF($A45="","",P_Criteres!B6)</f>
        <v>0</v>
      </c>
      <c r="C45" s="8">
        <f>IF($A45="","",P_Criteres!C6)</f>
        <v>0</v>
      </c>
      <c r="D45" s="8">
        <f>IF($A45="","",P_Criteres!F6)</f>
        <v>0</v>
      </c>
      <c r="E45" s="8">
        <f>IF($A45="","",IFERROR(INDEX(In_Retenue,MATCH($D45,In_Cles,0)),""))</f>
        <v>0</v>
      </c>
      <c r="F45" s="16">
        <f>IF($A45="",0,ROUND(MIN(P_Scale,MAX(0,IF($L45=0,$K45,$M45))),2))</f>
        <v>0</v>
      </c>
      <c r="G45" s="16">
        <f>IF($A45="",0,P_Criteres!E6)</f>
        <v>0</v>
      </c>
      <c r="H45" s="16">
        <f>ROUND(F45*G45,2)</f>
        <v>0</v>
      </c>
      <c r="I45" s="8">
        <f>IF($A45="",FALSE,AND(P_Criteres!G6="Oui",ISNUMBER(P_Criteres!H6),F45&lt;=N(P_Criteres!H6)))</f>
        <v>0</v>
      </c>
      <c r="J45" s="8">
        <f>IF($A45="",FALSE,AND(OR(P_Criteres!G6="Oui",P_Criteres!K6="Oui"),$E45=""))</f>
        <v>0</v>
      </c>
      <c r="K45" s="16">
        <f t="array" ref="K45">IF($A45="",0,MIN(IF(P_Baremes!$A$5:$A$400=$A45,P_Baremes!$H$5:$H$400)))</f>
        <v>0</v>
      </c>
      <c r="L45" s="16">
        <f>IF($A45="",0,IF($O45="NUM",IF(ISNUMBER($E45),SUMPRODUCT((P_Baremes!$A$5:$A$400=$A45)*(P_Baremes!$B$5:$B$400="PLAGE")*(((P_Baremes!$D$5:$D$400="")+($E45&gt;=P_Baremes!$D$5:$D$400))&gt;0)*(((P_Baremes!$E$5:$E$400="")+($E45&lt;P_Baremes!$E$5:$E$400))&gt;0)),0),SUMPRODUCT((P_Baremes!$A$5:$A$400=$A45)*(P_Baremes!$B$5:$B$400="MODALITE")*(P_Baremes!$C$5:$C$400=$E45))))</f>
        <v>0</v>
      </c>
      <c r="M45" s="16">
        <f>IF($A45="",0,IF($L45=0,0,IF($O45="NUM",SUMPRODUCT((P_Baremes!$A$5:$A$400=$A45)*(P_Baremes!$B$5:$B$400="PLAGE")*(((P_Baremes!$D$5:$D$400="")+($E45&gt;=P_Baremes!$D$5:$D$400))&gt;0)*(((P_Baremes!$E$5:$E$400="")+($E45&lt;P_Baremes!$E$5:$E$400))&gt;0)*P_Baremes!$H$5:$H$400),SUMPRODUCT((P_Baremes!$A$5:$A$400=$A45)*(P_Baremes!$B$5:$B$400="MODALITE")*(P_Baremes!$C$5:$C$400=$E45)*P_Baremes!$H$5:$H$400))))</f>
        <v>0</v>
      </c>
      <c r="N45" s="8">
        <f>IF($A45="","",P_Criteres!J6)</f>
        <v>0</v>
      </c>
      <c r="O45" s="8">
        <f>IF($A45="","",P_Criteres!D6)</f>
        <v>0</v>
      </c>
      <c r="P45" s="16">
        <f>IF($A45="",0,IFERROR(INDEX(P_DomPoids,MATCH($B45,P_DomCodes,0)),0))</f>
        <v>0</v>
      </c>
      <c r="Q45" s="16">
        <f>P45*G45</f>
        <v>0</v>
      </c>
      <c r="R45" s="8">
        <f>IF(J45,IF(ISNUMBER(SEARCH(","&amp;D45&amp;",",","&amp;R44&amp;",")),R44,R44&amp;IF(R44="","",",")&amp;D45),R44)</f>
        <v>0</v>
      </c>
      <c r="S45" s="8">
        <f>IF(I45,S44&amp;IF(S44="","",", ")&amp;A45,S44)</f>
        <v>0</v>
      </c>
    </row>
    <row r="46" spans="1:19">
      <c r="A46" s="8">
        <f>IF(P_Criteres!A7="","",P_Criteres!A7)</f>
        <v>0</v>
      </c>
      <c r="B46" s="8">
        <f>IF($A46="","",P_Criteres!B7)</f>
        <v>0</v>
      </c>
      <c r="C46" s="8">
        <f>IF($A46="","",P_Criteres!C7)</f>
        <v>0</v>
      </c>
      <c r="D46" s="8">
        <f>IF($A46="","",P_Criteres!F7)</f>
        <v>0</v>
      </c>
      <c r="E46" s="8">
        <f>IF($A46="","",IFERROR(INDEX(In_Retenue,MATCH($D46,In_Cles,0)),""))</f>
        <v>0</v>
      </c>
      <c r="F46" s="16">
        <f>IF($A46="",0,ROUND(MIN(P_Scale,MAX(0,IF($L46=0,$K46,$M46))),2))</f>
        <v>0</v>
      </c>
      <c r="G46" s="16">
        <f>IF($A46="",0,P_Criteres!E7)</f>
        <v>0</v>
      </c>
      <c r="H46" s="16">
        <f>ROUND(F46*G46,2)</f>
        <v>0</v>
      </c>
      <c r="I46" s="8">
        <f>IF($A46="",FALSE,AND(P_Criteres!G7="Oui",ISNUMBER(P_Criteres!H7),F46&lt;=N(P_Criteres!H7)))</f>
        <v>0</v>
      </c>
      <c r="J46" s="8">
        <f>IF($A46="",FALSE,AND(OR(P_Criteres!G7="Oui",P_Criteres!K7="Oui"),$E46=""))</f>
        <v>0</v>
      </c>
      <c r="K46" s="16">
        <f t="array" ref="K46">IF($A46="",0,MIN(IF(P_Baremes!$A$5:$A$400=$A46,P_Baremes!$H$5:$H$400)))</f>
        <v>0</v>
      </c>
      <c r="L46" s="16">
        <f>IF($A46="",0,IF($O46="NUM",IF(ISNUMBER($E46),SUMPRODUCT((P_Baremes!$A$5:$A$400=$A46)*(P_Baremes!$B$5:$B$400="PLAGE")*(((P_Baremes!$D$5:$D$400="")+($E46&gt;=P_Baremes!$D$5:$D$400))&gt;0)*(((P_Baremes!$E$5:$E$400="")+($E46&lt;P_Baremes!$E$5:$E$400))&gt;0)),0),SUMPRODUCT((P_Baremes!$A$5:$A$400=$A46)*(P_Baremes!$B$5:$B$400="MODALITE")*(P_Baremes!$C$5:$C$400=$E46))))</f>
        <v>0</v>
      </c>
      <c r="M46" s="16">
        <f>IF($A46="",0,IF($L46=0,0,IF($O46="NUM",SUMPRODUCT((P_Baremes!$A$5:$A$400=$A46)*(P_Baremes!$B$5:$B$400="PLAGE")*(((P_Baremes!$D$5:$D$400="")+($E46&gt;=P_Baremes!$D$5:$D$400))&gt;0)*(((P_Baremes!$E$5:$E$400="")+($E46&lt;P_Baremes!$E$5:$E$400))&gt;0)*P_Baremes!$H$5:$H$400),SUMPRODUCT((P_Baremes!$A$5:$A$400=$A46)*(P_Baremes!$B$5:$B$400="MODALITE")*(P_Baremes!$C$5:$C$400=$E46)*P_Baremes!$H$5:$H$400))))</f>
        <v>0</v>
      </c>
      <c r="N46" s="8">
        <f>IF($A46="","",P_Criteres!J7)</f>
        <v>0</v>
      </c>
      <c r="O46" s="8">
        <f>IF($A46="","",P_Criteres!D7)</f>
        <v>0</v>
      </c>
      <c r="P46" s="16">
        <f>IF($A46="",0,IFERROR(INDEX(P_DomPoids,MATCH($B46,P_DomCodes,0)),0))</f>
        <v>0</v>
      </c>
      <c r="Q46" s="16">
        <f>P46*G46</f>
        <v>0</v>
      </c>
      <c r="R46" s="8">
        <f>IF(J46,IF(ISNUMBER(SEARCH(","&amp;D46&amp;",",","&amp;R45&amp;",")),R45,R45&amp;IF(R45="","",",")&amp;D46),R45)</f>
        <v>0</v>
      </c>
      <c r="S46" s="8">
        <f>IF(I46,S45&amp;IF(S45="","",", ")&amp;A46,S45)</f>
        <v>0</v>
      </c>
    </row>
    <row r="47" spans="1:19">
      <c r="A47" s="8">
        <f>IF(P_Criteres!A8="","",P_Criteres!A8)</f>
        <v>0</v>
      </c>
      <c r="B47" s="8">
        <f>IF($A47="","",P_Criteres!B8)</f>
        <v>0</v>
      </c>
      <c r="C47" s="8">
        <f>IF($A47="","",P_Criteres!C8)</f>
        <v>0</v>
      </c>
      <c r="D47" s="8">
        <f>IF($A47="","",P_Criteres!F8)</f>
        <v>0</v>
      </c>
      <c r="E47" s="8">
        <f>IF($A47="","",IFERROR(INDEX(In_Retenue,MATCH($D47,In_Cles,0)),""))</f>
        <v>0</v>
      </c>
      <c r="F47" s="16">
        <f>IF($A47="",0,ROUND(MIN(P_Scale,MAX(0,IF($L47=0,$K47,$M47))),2))</f>
        <v>0</v>
      </c>
      <c r="G47" s="16">
        <f>IF($A47="",0,P_Criteres!E8)</f>
        <v>0</v>
      </c>
      <c r="H47" s="16">
        <f>ROUND(F47*G47,2)</f>
        <v>0</v>
      </c>
      <c r="I47" s="8">
        <f>IF($A47="",FALSE,AND(P_Criteres!G8="Oui",ISNUMBER(P_Criteres!H8),F47&lt;=N(P_Criteres!H8)))</f>
        <v>0</v>
      </c>
      <c r="J47" s="8">
        <f>IF($A47="",FALSE,AND(OR(P_Criteres!G8="Oui",P_Criteres!K8="Oui"),$E47=""))</f>
        <v>0</v>
      </c>
      <c r="K47" s="16">
        <f t="array" ref="K47">IF($A47="",0,MIN(IF(P_Baremes!$A$5:$A$400=$A47,P_Baremes!$H$5:$H$400)))</f>
        <v>0</v>
      </c>
      <c r="L47" s="16">
        <f>IF($A47="",0,IF($O47="NUM",IF(ISNUMBER($E47),SUMPRODUCT((P_Baremes!$A$5:$A$400=$A47)*(P_Baremes!$B$5:$B$400="PLAGE")*(((P_Baremes!$D$5:$D$400="")+($E47&gt;=P_Baremes!$D$5:$D$400))&gt;0)*(((P_Baremes!$E$5:$E$400="")+($E47&lt;P_Baremes!$E$5:$E$400))&gt;0)),0),SUMPRODUCT((P_Baremes!$A$5:$A$400=$A47)*(P_Baremes!$B$5:$B$400="MODALITE")*(P_Baremes!$C$5:$C$400=$E47))))</f>
        <v>0</v>
      </c>
      <c r="M47" s="16">
        <f>IF($A47="",0,IF($L47=0,0,IF($O47="NUM",SUMPRODUCT((P_Baremes!$A$5:$A$400=$A47)*(P_Baremes!$B$5:$B$400="PLAGE")*(((P_Baremes!$D$5:$D$400="")+($E47&gt;=P_Baremes!$D$5:$D$400))&gt;0)*(((P_Baremes!$E$5:$E$400="")+($E47&lt;P_Baremes!$E$5:$E$400))&gt;0)*P_Baremes!$H$5:$H$400),SUMPRODUCT((P_Baremes!$A$5:$A$400=$A47)*(P_Baremes!$B$5:$B$400="MODALITE")*(P_Baremes!$C$5:$C$400=$E47)*P_Baremes!$H$5:$H$400))))</f>
        <v>0</v>
      </c>
      <c r="N47" s="8">
        <f>IF($A47="","",P_Criteres!J8)</f>
        <v>0</v>
      </c>
      <c r="O47" s="8">
        <f>IF($A47="","",P_Criteres!D8)</f>
        <v>0</v>
      </c>
      <c r="P47" s="16">
        <f>IF($A47="",0,IFERROR(INDEX(P_DomPoids,MATCH($B47,P_DomCodes,0)),0))</f>
        <v>0</v>
      </c>
      <c r="Q47" s="16">
        <f>P47*G47</f>
        <v>0</v>
      </c>
      <c r="R47" s="8">
        <f>IF(J47,IF(ISNUMBER(SEARCH(","&amp;D47&amp;",",","&amp;R46&amp;",")),R46,R46&amp;IF(R46="","",",")&amp;D47),R46)</f>
        <v>0</v>
      </c>
      <c r="S47" s="8">
        <f>IF(I47,S46&amp;IF(S46="","",", ")&amp;A47,S46)</f>
        <v>0</v>
      </c>
    </row>
    <row r="48" spans="1:19">
      <c r="A48" s="8">
        <f>IF(P_Criteres!A9="","",P_Criteres!A9)</f>
        <v>0</v>
      </c>
      <c r="B48" s="8">
        <f>IF($A48="","",P_Criteres!B9)</f>
        <v>0</v>
      </c>
      <c r="C48" s="8">
        <f>IF($A48="","",P_Criteres!C9)</f>
        <v>0</v>
      </c>
      <c r="D48" s="8">
        <f>IF($A48="","",P_Criteres!F9)</f>
        <v>0</v>
      </c>
      <c r="E48" s="8">
        <f>IF($A48="","",IFERROR(INDEX(In_Retenue,MATCH($D48,In_Cles,0)),""))</f>
        <v>0</v>
      </c>
      <c r="F48" s="16">
        <f>IF($A48="",0,ROUND(MIN(P_Scale,MAX(0,IF($L48=0,$K48,$M48))),2))</f>
        <v>0</v>
      </c>
      <c r="G48" s="16">
        <f>IF($A48="",0,P_Criteres!E9)</f>
        <v>0</v>
      </c>
      <c r="H48" s="16">
        <f>ROUND(F48*G48,2)</f>
        <v>0</v>
      </c>
      <c r="I48" s="8">
        <f>IF($A48="",FALSE,AND(P_Criteres!G9="Oui",ISNUMBER(P_Criteres!H9),F48&lt;=N(P_Criteres!H9)))</f>
        <v>0</v>
      </c>
      <c r="J48" s="8">
        <f>IF($A48="",FALSE,AND(OR(P_Criteres!G9="Oui",P_Criteres!K9="Oui"),$E48=""))</f>
        <v>0</v>
      </c>
      <c r="K48" s="16">
        <f t="array" ref="K48">IF($A48="",0,MIN(IF(P_Baremes!$A$5:$A$400=$A48,P_Baremes!$H$5:$H$400)))</f>
        <v>0</v>
      </c>
      <c r="L48" s="16">
        <f>IF($A48="",0,IF($O48="NUM",IF(ISNUMBER($E48),SUMPRODUCT((P_Baremes!$A$5:$A$400=$A48)*(P_Baremes!$B$5:$B$400="PLAGE")*(((P_Baremes!$D$5:$D$400="")+($E48&gt;=P_Baremes!$D$5:$D$400))&gt;0)*(((P_Baremes!$E$5:$E$400="")+($E48&lt;P_Baremes!$E$5:$E$400))&gt;0)),0),SUMPRODUCT((P_Baremes!$A$5:$A$400=$A48)*(P_Baremes!$B$5:$B$400="MODALITE")*(P_Baremes!$C$5:$C$400=$E48))))</f>
        <v>0</v>
      </c>
      <c r="M48" s="16">
        <f>IF($A48="",0,IF($L48=0,0,IF($O48="NUM",SUMPRODUCT((P_Baremes!$A$5:$A$400=$A48)*(P_Baremes!$B$5:$B$400="PLAGE")*(((P_Baremes!$D$5:$D$400="")+($E48&gt;=P_Baremes!$D$5:$D$400))&gt;0)*(((P_Baremes!$E$5:$E$400="")+($E48&lt;P_Baremes!$E$5:$E$400))&gt;0)*P_Baremes!$H$5:$H$400),SUMPRODUCT((P_Baremes!$A$5:$A$400=$A48)*(P_Baremes!$B$5:$B$400="MODALITE")*(P_Baremes!$C$5:$C$400=$E48)*P_Baremes!$H$5:$H$400))))</f>
        <v>0</v>
      </c>
      <c r="N48" s="8">
        <f>IF($A48="","",P_Criteres!J9)</f>
        <v>0</v>
      </c>
      <c r="O48" s="8">
        <f>IF($A48="","",P_Criteres!D9)</f>
        <v>0</v>
      </c>
      <c r="P48" s="16">
        <f>IF($A48="",0,IFERROR(INDEX(P_DomPoids,MATCH($B48,P_DomCodes,0)),0))</f>
        <v>0</v>
      </c>
      <c r="Q48" s="16">
        <f>P48*G48</f>
        <v>0</v>
      </c>
      <c r="R48" s="8">
        <f>IF(J48,IF(ISNUMBER(SEARCH(","&amp;D48&amp;",",","&amp;R47&amp;",")),R47,R47&amp;IF(R47="","",",")&amp;D48),R47)</f>
        <v>0</v>
      </c>
      <c r="S48" s="8">
        <f>IF(I48,S47&amp;IF(S47="","",", ")&amp;A48,S47)</f>
        <v>0</v>
      </c>
    </row>
    <row r="49" spans="1:19">
      <c r="A49" s="8">
        <f>IF(P_Criteres!A10="","",P_Criteres!A10)</f>
        <v>0</v>
      </c>
      <c r="B49" s="8">
        <f>IF($A49="","",P_Criteres!B10)</f>
        <v>0</v>
      </c>
      <c r="C49" s="8">
        <f>IF($A49="","",P_Criteres!C10)</f>
        <v>0</v>
      </c>
      <c r="D49" s="8">
        <f>IF($A49="","",P_Criteres!F10)</f>
        <v>0</v>
      </c>
      <c r="E49" s="8">
        <f>IF($A49="","",IFERROR(INDEX(In_Retenue,MATCH($D49,In_Cles,0)),""))</f>
        <v>0</v>
      </c>
      <c r="F49" s="16">
        <f>IF($A49="",0,ROUND(MIN(P_Scale,MAX(0,IF($L49=0,$K49,$M49))),2))</f>
        <v>0</v>
      </c>
      <c r="G49" s="16">
        <f>IF($A49="",0,P_Criteres!E10)</f>
        <v>0</v>
      </c>
      <c r="H49" s="16">
        <f>ROUND(F49*G49,2)</f>
        <v>0</v>
      </c>
      <c r="I49" s="8">
        <f>IF($A49="",FALSE,AND(P_Criteres!G10="Oui",ISNUMBER(P_Criteres!H10),F49&lt;=N(P_Criteres!H10)))</f>
        <v>0</v>
      </c>
      <c r="J49" s="8">
        <f>IF($A49="",FALSE,AND(OR(P_Criteres!G10="Oui",P_Criteres!K10="Oui"),$E49=""))</f>
        <v>0</v>
      </c>
      <c r="K49" s="16">
        <f t="array" ref="K49">IF($A49="",0,MIN(IF(P_Baremes!$A$5:$A$400=$A49,P_Baremes!$H$5:$H$400)))</f>
        <v>0</v>
      </c>
      <c r="L49" s="16">
        <f>IF($A49="",0,IF($O49="NUM",IF(ISNUMBER($E49),SUMPRODUCT((P_Baremes!$A$5:$A$400=$A49)*(P_Baremes!$B$5:$B$400="PLAGE")*(((P_Baremes!$D$5:$D$400="")+($E49&gt;=P_Baremes!$D$5:$D$400))&gt;0)*(((P_Baremes!$E$5:$E$400="")+($E49&lt;P_Baremes!$E$5:$E$400))&gt;0)),0),SUMPRODUCT((P_Baremes!$A$5:$A$400=$A49)*(P_Baremes!$B$5:$B$400="MODALITE")*(P_Baremes!$C$5:$C$400=$E49))))</f>
        <v>0</v>
      </c>
      <c r="M49" s="16">
        <f>IF($A49="",0,IF($L49=0,0,IF($O49="NUM",SUMPRODUCT((P_Baremes!$A$5:$A$400=$A49)*(P_Baremes!$B$5:$B$400="PLAGE")*(((P_Baremes!$D$5:$D$400="")+($E49&gt;=P_Baremes!$D$5:$D$400))&gt;0)*(((P_Baremes!$E$5:$E$400="")+($E49&lt;P_Baremes!$E$5:$E$400))&gt;0)*P_Baremes!$H$5:$H$400),SUMPRODUCT((P_Baremes!$A$5:$A$400=$A49)*(P_Baremes!$B$5:$B$400="MODALITE")*(P_Baremes!$C$5:$C$400=$E49)*P_Baremes!$H$5:$H$400))))</f>
        <v>0</v>
      </c>
      <c r="N49" s="8">
        <f>IF($A49="","",P_Criteres!J10)</f>
        <v>0</v>
      </c>
      <c r="O49" s="8">
        <f>IF($A49="","",P_Criteres!D10)</f>
        <v>0</v>
      </c>
      <c r="P49" s="16">
        <f>IF($A49="",0,IFERROR(INDEX(P_DomPoids,MATCH($B49,P_DomCodes,0)),0))</f>
        <v>0</v>
      </c>
      <c r="Q49" s="16">
        <f>P49*G49</f>
        <v>0</v>
      </c>
      <c r="R49" s="8">
        <f>IF(J49,IF(ISNUMBER(SEARCH(","&amp;D49&amp;",",","&amp;R48&amp;",")),R48,R48&amp;IF(R48="","",",")&amp;D49),R48)</f>
        <v>0</v>
      </c>
      <c r="S49" s="8">
        <f>IF(I49,S48&amp;IF(S48="","",", ")&amp;A49,S48)</f>
        <v>0</v>
      </c>
    </row>
    <row r="50" spans="1:19">
      <c r="A50" s="8">
        <f>IF(P_Criteres!A11="","",P_Criteres!A11)</f>
        <v>0</v>
      </c>
      <c r="B50" s="8">
        <f>IF($A50="","",P_Criteres!B11)</f>
        <v>0</v>
      </c>
      <c r="C50" s="8">
        <f>IF($A50="","",P_Criteres!C11)</f>
        <v>0</v>
      </c>
      <c r="D50" s="8">
        <f>IF($A50="","",P_Criteres!F11)</f>
        <v>0</v>
      </c>
      <c r="E50" s="8">
        <f>IF($A50="","",IFERROR(INDEX(In_Retenue,MATCH($D50,In_Cles,0)),""))</f>
        <v>0</v>
      </c>
      <c r="F50" s="16">
        <f>IF($A50="",0,ROUND(MIN(P_Scale,MAX(0,IF($L50=0,$K50,$M50))),2))</f>
        <v>0</v>
      </c>
      <c r="G50" s="16">
        <f>IF($A50="",0,P_Criteres!E11)</f>
        <v>0</v>
      </c>
      <c r="H50" s="16">
        <f>ROUND(F50*G50,2)</f>
        <v>0</v>
      </c>
      <c r="I50" s="8">
        <f>IF($A50="",FALSE,AND(P_Criteres!G11="Oui",ISNUMBER(P_Criteres!H11),F50&lt;=N(P_Criteres!H11)))</f>
        <v>0</v>
      </c>
      <c r="J50" s="8">
        <f>IF($A50="",FALSE,AND(OR(P_Criteres!G11="Oui",P_Criteres!K11="Oui"),$E50=""))</f>
        <v>0</v>
      </c>
      <c r="K50" s="16">
        <f t="array" ref="K50">IF($A50="",0,MIN(IF(P_Baremes!$A$5:$A$400=$A50,P_Baremes!$H$5:$H$400)))</f>
        <v>0</v>
      </c>
      <c r="L50" s="16">
        <f>IF($A50="",0,IF($O50="NUM",IF(ISNUMBER($E50),SUMPRODUCT((P_Baremes!$A$5:$A$400=$A50)*(P_Baremes!$B$5:$B$400="PLAGE")*(((P_Baremes!$D$5:$D$400="")+($E50&gt;=P_Baremes!$D$5:$D$400))&gt;0)*(((P_Baremes!$E$5:$E$400="")+($E50&lt;P_Baremes!$E$5:$E$400))&gt;0)),0),SUMPRODUCT((P_Baremes!$A$5:$A$400=$A50)*(P_Baremes!$B$5:$B$400="MODALITE")*(P_Baremes!$C$5:$C$400=$E50))))</f>
        <v>0</v>
      </c>
      <c r="M50" s="16">
        <f>IF($A50="",0,IF($L50=0,0,IF($O50="NUM",SUMPRODUCT((P_Baremes!$A$5:$A$400=$A50)*(P_Baremes!$B$5:$B$400="PLAGE")*(((P_Baremes!$D$5:$D$400="")+($E50&gt;=P_Baremes!$D$5:$D$400))&gt;0)*(((P_Baremes!$E$5:$E$400="")+($E50&lt;P_Baremes!$E$5:$E$400))&gt;0)*P_Baremes!$H$5:$H$400),SUMPRODUCT((P_Baremes!$A$5:$A$400=$A50)*(P_Baremes!$B$5:$B$400="MODALITE")*(P_Baremes!$C$5:$C$400=$E50)*P_Baremes!$H$5:$H$400))))</f>
        <v>0</v>
      </c>
      <c r="N50" s="8">
        <f>IF($A50="","",P_Criteres!J11)</f>
        <v>0</v>
      </c>
      <c r="O50" s="8">
        <f>IF($A50="","",P_Criteres!D11)</f>
        <v>0</v>
      </c>
      <c r="P50" s="16">
        <f>IF($A50="",0,IFERROR(INDEX(P_DomPoids,MATCH($B50,P_DomCodes,0)),0))</f>
        <v>0</v>
      </c>
      <c r="Q50" s="16">
        <f>P50*G50</f>
        <v>0</v>
      </c>
      <c r="R50" s="8">
        <f>IF(J50,IF(ISNUMBER(SEARCH(","&amp;D50&amp;",",","&amp;R49&amp;",")),R49,R49&amp;IF(R49="","",",")&amp;D50),R49)</f>
        <v>0</v>
      </c>
      <c r="S50" s="8">
        <f>IF(I50,S49&amp;IF(S49="","",", ")&amp;A50,S49)</f>
        <v>0</v>
      </c>
    </row>
    <row r="51" spans="1:19">
      <c r="A51" s="8">
        <f>IF(P_Criteres!A12="","",P_Criteres!A12)</f>
        <v>0</v>
      </c>
      <c r="B51" s="8">
        <f>IF($A51="","",P_Criteres!B12)</f>
        <v>0</v>
      </c>
      <c r="C51" s="8">
        <f>IF($A51="","",P_Criteres!C12)</f>
        <v>0</v>
      </c>
      <c r="D51" s="8">
        <f>IF($A51="","",P_Criteres!F12)</f>
        <v>0</v>
      </c>
      <c r="E51" s="8">
        <f>IF($A51="","",IFERROR(INDEX(In_Retenue,MATCH($D51,In_Cles,0)),""))</f>
        <v>0</v>
      </c>
      <c r="F51" s="16">
        <f>IF($A51="",0,ROUND(MIN(P_Scale,MAX(0,IF($L51=0,$K51,$M51))),2))</f>
        <v>0</v>
      </c>
      <c r="G51" s="16">
        <f>IF($A51="",0,P_Criteres!E12)</f>
        <v>0</v>
      </c>
      <c r="H51" s="16">
        <f>ROUND(F51*G51,2)</f>
        <v>0</v>
      </c>
      <c r="I51" s="8">
        <f>IF($A51="",FALSE,AND(P_Criteres!G12="Oui",ISNUMBER(P_Criteres!H12),F51&lt;=N(P_Criteres!H12)))</f>
        <v>0</v>
      </c>
      <c r="J51" s="8">
        <f>IF($A51="",FALSE,AND(OR(P_Criteres!G12="Oui",P_Criteres!K12="Oui"),$E51=""))</f>
        <v>0</v>
      </c>
      <c r="K51" s="16">
        <f t="array" ref="K51">IF($A51="",0,MIN(IF(P_Baremes!$A$5:$A$400=$A51,P_Baremes!$H$5:$H$400)))</f>
        <v>0</v>
      </c>
      <c r="L51" s="16">
        <f>IF($A51="",0,IF($O51="NUM",IF(ISNUMBER($E51),SUMPRODUCT((P_Baremes!$A$5:$A$400=$A51)*(P_Baremes!$B$5:$B$400="PLAGE")*(((P_Baremes!$D$5:$D$400="")+($E51&gt;=P_Baremes!$D$5:$D$400))&gt;0)*(((P_Baremes!$E$5:$E$400="")+($E51&lt;P_Baremes!$E$5:$E$400))&gt;0)),0),SUMPRODUCT((P_Baremes!$A$5:$A$400=$A51)*(P_Baremes!$B$5:$B$400="MODALITE")*(P_Baremes!$C$5:$C$400=$E51))))</f>
        <v>0</v>
      </c>
      <c r="M51" s="16">
        <f>IF($A51="",0,IF($L51=0,0,IF($O51="NUM",SUMPRODUCT((P_Baremes!$A$5:$A$400=$A51)*(P_Baremes!$B$5:$B$400="PLAGE")*(((P_Baremes!$D$5:$D$400="")+($E51&gt;=P_Baremes!$D$5:$D$400))&gt;0)*(((P_Baremes!$E$5:$E$400="")+($E51&lt;P_Baremes!$E$5:$E$400))&gt;0)*P_Baremes!$H$5:$H$400),SUMPRODUCT((P_Baremes!$A$5:$A$400=$A51)*(P_Baremes!$B$5:$B$400="MODALITE")*(P_Baremes!$C$5:$C$400=$E51)*P_Baremes!$H$5:$H$400))))</f>
        <v>0</v>
      </c>
      <c r="N51" s="8">
        <f>IF($A51="","",P_Criteres!J12)</f>
        <v>0</v>
      </c>
      <c r="O51" s="8">
        <f>IF($A51="","",P_Criteres!D12)</f>
        <v>0</v>
      </c>
      <c r="P51" s="16">
        <f>IF($A51="",0,IFERROR(INDEX(P_DomPoids,MATCH($B51,P_DomCodes,0)),0))</f>
        <v>0</v>
      </c>
      <c r="Q51" s="16">
        <f>P51*G51</f>
        <v>0</v>
      </c>
      <c r="R51" s="8">
        <f>IF(J51,IF(ISNUMBER(SEARCH(","&amp;D51&amp;",",","&amp;R50&amp;",")),R50,R50&amp;IF(R50="","",",")&amp;D51),R50)</f>
        <v>0</v>
      </c>
      <c r="S51" s="8">
        <f>IF(I51,S50&amp;IF(S50="","",", ")&amp;A51,S50)</f>
        <v>0</v>
      </c>
    </row>
    <row r="52" spans="1:19">
      <c r="A52" s="8">
        <f>IF(P_Criteres!A13="","",P_Criteres!A13)</f>
        <v>0</v>
      </c>
      <c r="B52" s="8">
        <f>IF($A52="","",P_Criteres!B13)</f>
        <v>0</v>
      </c>
      <c r="C52" s="8">
        <f>IF($A52="","",P_Criteres!C13)</f>
        <v>0</v>
      </c>
      <c r="D52" s="8">
        <f>IF($A52="","",P_Criteres!F13)</f>
        <v>0</v>
      </c>
      <c r="E52" s="8">
        <f>IF($A52="","",IFERROR(INDEX(In_Retenue,MATCH($D52,In_Cles,0)),""))</f>
        <v>0</v>
      </c>
      <c r="F52" s="16">
        <f>IF($A52="",0,ROUND(MIN(P_Scale,MAX(0,IF($L52=0,$K52,$M52))),2))</f>
        <v>0</v>
      </c>
      <c r="G52" s="16">
        <f>IF($A52="",0,P_Criteres!E13)</f>
        <v>0</v>
      </c>
      <c r="H52" s="16">
        <f>ROUND(F52*G52,2)</f>
        <v>0</v>
      </c>
      <c r="I52" s="8">
        <f>IF($A52="",FALSE,AND(P_Criteres!G13="Oui",ISNUMBER(P_Criteres!H13),F52&lt;=N(P_Criteres!H13)))</f>
        <v>0</v>
      </c>
      <c r="J52" s="8">
        <f>IF($A52="",FALSE,AND(OR(P_Criteres!G13="Oui",P_Criteres!K13="Oui"),$E52=""))</f>
        <v>0</v>
      </c>
      <c r="K52" s="16">
        <f t="array" ref="K52">IF($A52="",0,MIN(IF(P_Baremes!$A$5:$A$400=$A52,P_Baremes!$H$5:$H$400)))</f>
        <v>0</v>
      </c>
      <c r="L52" s="16">
        <f>IF($A52="",0,IF($O52="NUM",IF(ISNUMBER($E52),SUMPRODUCT((P_Baremes!$A$5:$A$400=$A52)*(P_Baremes!$B$5:$B$400="PLAGE")*(((P_Baremes!$D$5:$D$400="")+($E52&gt;=P_Baremes!$D$5:$D$400))&gt;0)*(((P_Baremes!$E$5:$E$400="")+($E52&lt;P_Baremes!$E$5:$E$400))&gt;0)),0),SUMPRODUCT((P_Baremes!$A$5:$A$400=$A52)*(P_Baremes!$B$5:$B$400="MODALITE")*(P_Baremes!$C$5:$C$400=$E52))))</f>
        <v>0</v>
      </c>
      <c r="M52" s="16">
        <f>IF($A52="",0,IF($L52=0,0,IF($O52="NUM",SUMPRODUCT((P_Baremes!$A$5:$A$400=$A52)*(P_Baremes!$B$5:$B$400="PLAGE")*(((P_Baremes!$D$5:$D$400="")+($E52&gt;=P_Baremes!$D$5:$D$400))&gt;0)*(((P_Baremes!$E$5:$E$400="")+($E52&lt;P_Baremes!$E$5:$E$400))&gt;0)*P_Baremes!$H$5:$H$400),SUMPRODUCT((P_Baremes!$A$5:$A$400=$A52)*(P_Baremes!$B$5:$B$400="MODALITE")*(P_Baremes!$C$5:$C$400=$E52)*P_Baremes!$H$5:$H$400))))</f>
        <v>0</v>
      </c>
      <c r="N52" s="8">
        <f>IF($A52="","",P_Criteres!J13)</f>
        <v>0</v>
      </c>
      <c r="O52" s="8">
        <f>IF($A52="","",P_Criteres!D13)</f>
        <v>0</v>
      </c>
      <c r="P52" s="16">
        <f>IF($A52="",0,IFERROR(INDEX(P_DomPoids,MATCH($B52,P_DomCodes,0)),0))</f>
        <v>0</v>
      </c>
      <c r="Q52" s="16">
        <f>P52*G52</f>
        <v>0</v>
      </c>
      <c r="R52" s="8">
        <f>IF(J52,IF(ISNUMBER(SEARCH(","&amp;D52&amp;",",","&amp;R51&amp;",")),R51,R51&amp;IF(R51="","",",")&amp;D52),R51)</f>
        <v>0</v>
      </c>
      <c r="S52" s="8">
        <f>IF(I52,S51&amp;IF(S51="","",", ")&amp;A52,S51)</f>
        <v>0</v>
      </c>
    </row>
    <row r="53" spans="1:19">
      <c r="A53" s="8">
        <f>IF(P_Criteres!A14="","",P_Criteres!A14)</f>
        <v>0</v>
      </c>
      <c r="B53" s="8">
        <f>IF($A53="","",P_Criteres!B14)</f>
        <v>0</v>
      </c>
      <c r="C53" s="8">
        <f>IF($A53="","",P_Criteres!C14)</f>
        <v>0</v>
      </c>
      <c r="D53" s="8">
        <f>IF($A53="","",P_Criteres!F14)</f>
        <v>0</v>
      </c>
      <c r="E53" s="8">
        <f>IF($A53="","",IFERROR(INDEX(In_Retenue,MATCH($D53,In_Cles,0)),""))</f>
        <v>0</v>
      </c>
      <c r="F53" s="16">
        <f>IF($A53="",0,ROUND(MIN(P_Scale,MAX(0,IF($L53=0,$K53,$M53))),2))</f>
        <v>0</v>
      </c>
      <c r="G53" s="16">
        <f>IF($A53="",0,P_Criteres!E14)</f>
        <v>0</v>
      </c>
      <c r="H53" s="16">
        <f>ROUND(F53*G53,2)</f>
        <v>0</v>
      </c>
      <c r="I53" s="8">
        <f>IF($A53="",FALSE,AND(P_Criteres!G14="Oui",ISNUMBER(P_Criteres!H14),F53&lt;=N(P_Criteres!H14)))</f>
        <v>0</v>
      </c>
      <c r="J53" s="8">
        <f>IF($A53="",FALSE,AND(OR(P_Criteres!G14="Oui",P_Criteres!K14="Oui"),$E53=""))</f>
        <v>0</v>
      </c>
      <c r="K53" s="16">
        <f t="array" ref="K53">IF($A53="",0,MIN(IF(P_Baremes!$A$5:$A$400=$A53,P_Baremes!$H$5:$H$400)))</f>
        <v>0</v>
      </c>
      <c r="L53" s="16">
        <f>IF($A53="",0,IF($O53="NUM",IF(ISNUMBER($E53),SUMPRODUCT((P_Baremes!$A$5:$A$400=$A53)*(P_Baremes!$B$5:$B$400="PLAGE")*(((P_Baremes!$D$5:$D$400="")+($E53&gt;=P_Baremes!$D$5:$D$400))&gt;0)*(((P_Baremes!$E$5:$E$400="")+($E53&lt;P_Baremes!$E$5:$E$400))&gt;0)),0),SUMPRODUCT((P_Baremes!$A$5:$A$400=$A53)*(P_Baremes!$B$5:$B$400="MODALITE")*(P_Baremes!$C$5:$C$400=$E53))))</f>
        <v>0</v>
      </c>
      <c r="M53" s="16">
        <f>IF($A53="",0,IF($L53=0,0,IF($O53="NUM",SUMPRODUCT((P_Baremes!$A$5:$A$400=$A53)*(P_Baremes!$B$5:$B$400="PLAGE")*(((P_Baremes!$D$5:$D$400="")+($E53&gt;=P_Baremes!$D$5:$D$400))&gt;0)*(((P_Baremes!$E$5:$E$400="")+($E53&lt;P_Baremes!$E$5:$E$400))&gt;0)*P_Baremes!$H$5:$H$400),SUMPRODUCT((P_Baremes!$A$5:$A$400=$A53)*(P_Baremes!$B$5:$B$400="MODALITE")*(P_Baremes!$C$5:$C$400=$E53)*P_Baremes!$H$5:$H$400))))</f>
        <v>0</v>
      </c>
      <c r="N53" s="8">
        <f>IF($A53="","",P_Criteres!J14)</f>
        <v>0</v>
      </c>
      <c r="O53" s="8">
        <f>IF($A53="","",P_Criteres!D14)</f>
        <v>0</v>
      </c>
      <c r="P53" s="16">
        <f>IF($A53="",0,IFERROR(INDEX(P_DomPoids,MATCH($B53,P_DomCodes,0)),0))</f>
        <v>0</v>
      </c>
      <c r="Q53" s="16">
        <f>P53*G53</f>
        <v>0</v>
      </c>
      <c r="R53" s="8">
        <f>IF(J53,IF(ISNUMBER(SEARCH(","&amp;D53&amp;",",","&amp;R52&amp;",")),R52,R52&amp;IF(R52="","",",")&amp;D53),R52)</f>
        <v>0</v>
      </c>
      <c r="S53" s="8">
        <f>IF(I53,S52&amp;IF(S52="","",", ")&amp;A53,S52)</f>
        <v>0</v>
      </c>
    </row>
    <row r="54" spans="1:19">
      <c r="A54" s="8">
        <f>IF(P_Criteres!A15="","",P_Criteres!A15)</f>
        <v>0</v>
      </c>
      <c r="B54" s="8">
        <f>IF($A54="","",P_Criteres!B15)</f>
        <v>0</v>
      </c>
      <c r="C54" s="8">
        <f>IF($A54="","",P_Criteres!C15)</f>
        <v>0</v>
      </c>
      <c r="D54" s="8">
        <f>IF($A54="","",P_Criteres!F15)</f>
        <v>0</v>
      </c>
      <c r="E54" s="8">
        <f>IF($A54="","",IFERROR(INDEX(In_Retenue,MATCH($D54,In_Cles,0)),""))</f>
        <v>0</v>
      </c>
      <c r="F54" s="16">
        <f>IF($A54="",0,ROUND(MIN(P_Scale,MAX(0,IF($L54=0,$K54,$M54))),2))</f>
        <v>0</v>
      </c>
      <c r="G54" s="16">
        <f>IF($A54="",0,P_Criteres!E15)</f>
        <v>0</v>
      </c>
      <c r="H54" s="16">
        <f>ROUND(F54*G54,2)</f>
        <v>0</v>
      </c>
      <c r="I54" s="8">
        <f>IF($A54="",FALSE,AND(P_Criteres!G15="Oui",ISNUMBER(P_Criteres!H15),F54&lt;=N(P_Criteres!H15)))</f>
        <v>0</v>
      </c>
      <c r="J54" s="8">
        <f>IF($A54="",FALSE,AND(OR(P_Criteres!G15="Oui",P_Criteres!K15="Oui"),$E54=""))</f>
        <v>0</v>
      </c>
      <c r="K54" s="16">
        <f t="array" ref="K54">IF($A54="",0,MIN(IF(P_Baremes!$A$5:$A$400=$A54,P_Baremes!$H$5:$H$400)))</f>
        <v>0</v>
      </c>
      <c r="L54" s="16">
        <f>IF($A54="",0,IF($O54="NUM",IF(ISNUMBER($E54),SUMPRODUCT((P_Baremes!$A$5:$A$400=$A54)*(P_Baremes!$B$5:$B$400="PLAGE")*(((P_Baremes!$D$5:$D$400="")+($E54&gt;=P_Baremes!$D$5:$D$400))&gt;0)*(((P_Baremes!$E$5:$E$400="")+($E54&lt;P_Baremes!$E$5:$E$400))&gt;0)),0),SUMPRODUCT((P_Baremes!$A$5:$A$400=$A54)*(P_Baremes!$B$5:$B$400="MODALITE")*(P_Baremes!$C$5:$C$400=$E54))))</f>
        <v>0</v>
      </c>
      <c r="M54" s="16">
        <f>IF($A54="",0,IF($L54=0,0,IF($O54="NUM",SUMPRODUCT((P_Baremes!$A$5:$A$400=$A54)*(P_Baremes!$B$5:$B$400="PLAGE")*(((P_Baremes!$D$5:$D$400="")+($E54&gt;=P_Baremes!$D$5:$D$400))&gt;0)*(((P_Baremes!$E$5:$E$400="")+($E54&lt;P_Baremes!$E$5:$E$400))&gt;0)*P_Baremes!$H$5:$H$400),SUMPRODUCT((P_Baremes!$A$5:$A$400=$A54)*(P_Baremes!$B$5:$B$400="MODALITE")*(P_Baremes!$C$5:$C$400=$E54)*P_Baremes!$H$5:$H$400))))</f>
        <v>0</v>
      </c>
      <c r="N54" s="8">
        <f>IF($A54="","",P_Criteres!J15)</f>
        <v>0</v>
      </c>
      <c r="O54" s="8">
        <f>IF($A54="","",P_Criteres!D15)</f>
        <v>0</v>
      </c>
      <c r="P54" s="16">
        <f>IF($A54="",0,IFERROR(INDEX(P_DomPoids,MATCH($B54,P_DomCodes,0)),0))</f>
        <v>0</v>
      </c>
      <c r="Q54" s="16">
        <f>P54*G54</f>
        <v>0</v>
      </c>
      <c r="R54" s="8">
        <f>IF(J54,IF(ISNUMBER(SEARCH(","&amp;D54&amp;",",","&amp;R53&amp;",")),R53,R53&amp;IF(R53="","",",")&amp;D54),R53)</f>
        <v>0</v>
      </c>
      <c r="S54" s="8">
        <f>IF(I54,S53&amp;IF(S53="","",", ")&amp;A54,S53)</f>
        <v>0</v>
      </c>
    </row>
    <row r="55" spans="1:19">
      <c r="A55" s="8">
        <f>IF(P_Criteres!A16="","",P_Criteres!A16)</f>
        <v>0</v>
      </c>
      <c r="B55" s="8">
        <f>IF($A55="","",P_Criteres!B16)</f>
        <v>0</v>
      </c>
      <c r="C55" s="8">
        <f>IF($A55="","",P_Criteres!C16)</f>
        <v>0</v>
      </c>
      <c r="D55" s="8">
        <f>IF($A55="","",P_Criteres!F16)</f>
        <v>0</v>
      </c>
      <c r="E55" s="8">
        <f>IF($A55="","",IFERROR(INDEX(In_Retenue,MATCH($D55,In_Cles,0)),""))</f>
        <v>0</v>
      </c>
      <c r="F55" s="16">
        <f>IF($A55="",0,ROUND(MIN(P_Scale,MAX(0,IF($L55=0,$K55,$M55))),2))</f>
        <v>0</v>
      </c>
      <c r="G55" s="16">
        <f>IF($A55="",0,P_Criteres!E16)</f>
        <v>0</v>
      </c>
      <c r="H55" s="16">
        <f>ROUND(F55*G55,2)</f>
        <v>0</v>
      </c>
      <c r="I55" s="8">
        <f>IF($A55="",FALSE,AND(P_Criteres!G16="Oui",ISNUMBER(P_Criteres!H16),F55&lt;=N(P_Criteres!H16)))</f>
        <v>0</v>
      </c>
      <c r="J55" s="8">
        <f>IF($A55="",FALSE,AND(OR(P_Criteres!G16="Oui",P_Criteres!K16="Oui"),$E55=""))</f>
        <v>0</v>
      </c>
      <c r="K55" s="16">
        <f t="array" ref="K55">IF($A55="",0,MIN(IF(P_Baremes!$A$5:$A$400=$A55,P_Baremes!$H$5:$H$400)))</f>
        <v>0</v>
      </c>
      <c r="L55" s="16">
        <f>IF($A55="",0,IF($O55="NUM",IF(ISNUMBER($E55),SUMPRODUCT((P_Baremes!$A$5:$A$400=$A55)*(P_Baremes!$B$5:$B$400="PLAGE")*(((P_Baremes!$D$5:$D$400="")+($E55&gt;=P_Baremes!$D$5:$D$400))&gt;0)*(((P_Baremes!$E$5:$E$400="")+($E55&lt;P_Baremes!$E$5:$E$400))&gt;0)),0),SUMPRODUCT((P_Baremes!$A$5:$A$400=$A55)*(P_Baremes!$B$5:$B$400="MODALITE")*(P_Baremes!$C$5:$C$400=$E55))))</f>
        <v>0</v>
      </c>
      <c r="M55" s="16">
        <f>IF($A55="",0,IF($L55=0,0,IF($O55="NUM",SUMPRODUCT((P_Baremes!$A$5:$A$400=$A55)*(P_Baremes!$B$5:$B$400="PLAGE")*(((P_Baremes!$D$5:$D$400="")+($E55&gt;=P_Baremes!$D$5:$D$400))&gt;0)*(((P_Baremes!$E$5:$E$400="")+($E55&lt;P_Baremes!$E$5:$E$400))&gt;0)*P_Baremes!$H$5:$H$400),SUMPRODUCT((P_Baremes!$A$5:$A$400=$A55)*(P_Baremes!$B$5:$B$400="MODALITE")*(P_Baremes!$C$5:$C$400=$E55)*P_Baremes!$H$5:$H$400))))</f>
        <v>0</v>
      </c>
      <c r="N55" s="8">
        <f>IF($A55="","",P_Criteres!J16)</f>
        <v>0</v>
      </c>
      <c r="O55" s="8">
        <f>IF($A55="","",P_Criteres!D16)</f>
        <v>0</v>
      </c>
      <c r="P55" s="16">
        <f>IF($A55="",0,IFERROR(INDEX(P_DomPoids,MATCH($B55,P_DomCodes,0)),0))</f>
        <v>0</v>
      </c>
      <c r="Q55" s="16">
        <f>P55*G55</f>
        <v>0</v>
      </c>
      <c r="R55" s="8">
        <f>IF(J55,IF(ISNUMBER(SEARCH(","&amp;D55&amp;",",","&amp;R54&amp;",")),R54,R54&amp;IF(R54="","",",")&amp;D55),R54)</f>
        <v>0</v>
      </c>
      <c r="S55" s="8">
        <f>IF(I55,S54&amp;IF(S54="","",", ")&amp;A55,S54)</f>
        <v>0</v>
      </c>
    </row>
    <row r="56" spans="1:19">
      <c r="A56" s="8">
        <f>IF(P_Criteres!A17="","",P_Criteres!A17)</f>
        <v>0</v>
      </c>
      <c r="B56" s="8">
        <f>IF($A56="","",P_Criteres!B17)</f>
        <v>0</v>
      </c>
      <c r="C56" s="8">
        <f>IF($A56="","",P_Criteres!C17)</f>
        <v>0</v>
      </c>
      <c r="D56" s="8">
        <f>IF($A56="","",P_Criteres!F17)</f>
        <v>0</v>
      </c>
      <c r="E56" s="8">
        <f>IF($A56="","",IFERROR(INDEX(In_Retenue,MATCH($D56,In_Cles,0)),""))</f>
        <v>0</v>
      </c>
      <c r="F56" s="16">
        <f>IF($A56="",0,ROUND(MIN(P_Scale,MAX(0,IF($L56=0,$K56,$M56))),2))</f>
        <v>0</v>
      </c>
      <c r="G56" s="16">
        <f>IF($A56="",0,P_Criteres!E17)</f>
        <v>0</v>
      </c>
      <c r="H56" s="16">
        <f>ROUND(F56*G56,2)</f>
        <v>0</v>
      </c>
      <c r="I56" s="8">
        <f>IF($A56="",FALSE,AND(P_Criteres!G17="Oui",ISNUMBER(P_Criteres!H17),F56&lt;=N(P_Criteres!H17)))</f>
        <v>0</v>
      </c>
      <c r="J56" s="8">
        <f>IF($A56="",FALSE,AND(OR(P_Criteres!G17="Oui",P_Criteres!K17="Oui"),$E56=""))</f>
        <v>0</v>
      </c>
      <c r="K56" s="16">
        <f t="array" ref="K56">IF($A56="",0,MIN(IF(P_Baremes!$A$5:$A$400=$A56,P_Baremes!$H$5:$H$400)))</f>
        <v>0</v>
      </c>
      <c r="L56" s="16">
        <f>IF($A56="",0,IF($O56="NUM",IF(ISNUMBER($E56),SUMPRODUCT((P_Baremes!$A$5:$A$400=$A56)*(P_Baremes!$B$5:$B$400="PLAGE")*(((P_Baremes!$D$5:$D$400="")+($E56&gt;=P_Baremes!$D$5:$D$400))&gt;0)*(((P_Baremes!$E$5:$E$400="")+($E56&lt;P_Baremes!$E$5:$E$400))&gt;0)),0),SUMPRODUCT((P_Baremes!$A$5:$A$400=$A56)*(P_Baremes!$B$5:$B$400="MODALITE")*(P_Baremes!$C$5:$C$400=$E56))))</f>
        <v>0</v>
      </c>
      <c r="M56" s="16">
        <f>IF($A56="",0,IF($L56=0,0,IF($O56="NUM",SUMPRODUCT((P_Baremes!$A$5:$A$400=$A56)*(P_Baremes!$B$5:$B$400="PLAGE")*(((P_Baremes!$D$5:$D$400="")+($E56&gt;=P_Baremes!$D$5:$D$400))&gt;0)*(((P_Baremes!$E$5:$E$400="")+($E56&lt;P_Baremes!$E$5:$E$400))&gt;0)*P_Baremes!$H$5:$H$400),SUMPRODUCT((P_Baremes!$A$5:$A$400=$A56)*(P_Baremes!$B$5:$B$400="MODALITE")*(P_Baremes!$C$5:$C$400=$E56)*P_Baremes!$H$5:$H$400))))</f>
        <v>0</v>
      </c>
      <c r="N56" s="8">
        <f>IF($A56="","",P_Criteres!J17)</f>
        <v>0</v>
      </c>
      <c r="O56" s="8">
        <f>IF($A56="","",P_Criteres!D17)</f>
        <v>0</v>
      </c>
      <c r="P56" s="16">
        <f>IF($A56="",0,IFERROR(INDEX(P_DomPoids,MATCH($B56,P_DomCodes,0)),0))</f>
        <v>0</v>
      </c>
      <c r="Q56" s="16">
        <f>P56*G56</f>
        <v>0</v>
      </c>
      <c r="R56" s="8">
        <f>IF(J56,IF(ISNUMBER(SEARCH(","&amp;D56&amp;",",","&amp;R55&amp;",")),R55,R55&amp;IF(R55="","",",")&amp;D56),R55)</f>
        <v>0</v>
      </c>
      <c r="S56" s="8">
        <f>IF(I56,S55&amp;IF(S55="","",", ")&amp;A56,S55)</f>
        <v>0</v>
      </c>
    </row>
    <row r="57" spans="1:19">
      <c r="A57" s="8">
        <f>IF(P_Criteres!A18="","",P_Criteres!A18)</f>
        <v>0</v>
      </c>
      <c r="B57" s="8">
        <f>IF($A57="","",P_Criteres!B18)</f>
        <v>0</v>
      </c>
      <c r="C57" s="8">
        <f>IF($A57="","",P_Criteres!C18)</f>
        <v>0</v>
      </c>
      <c r="D57" s="8">
        <f>IF($A57="","",P_Criteres!F18)</f>
        <v>0</v>
      </c>
      <c r="E57" s="8">
        <f>IF($A57="","",IFERROR(INDEX(In_Retenue,MATCH($D57,In_Cles,0)),""))</f>
        <v>0</v>
      </c>
      <c r="F57" s="16">
        <f>IF($A57="",0,ROUND(MIN(P_Scale,MAX(0,IF($L57=0,$K57,$M57))),2))</f>
        <v>0</v>
      </c>
      <c r="G57" s="16">
        <f>IF($A57="",0,P_Criteres!E18)</f>
        <v>0</v>
      </c>
      <c r="H57" s="16">
        <f>ROUND(F57*G57,2)</f>
        <v>0</v>
      </c>
      <c r="I57" s="8">
        <f>IF($A57="",FALSE,AND(P_Criteres!G18="Oui",ISNUMBER(P_Criteres!H18),F57&lt;=N(P_Criteres!H18)))</f>
        <v>0</v>
      </c>
      <c r="J57" s="8">
        <f>IF($A57="",FALSE,AND(OR(P_Criteres!G18="Oui",P_Criteres!K18="Oui"),$E57=""))</f>
        <v>0</v>
      </c>
      <c r="K57" s="16">
        <f t="array" ref="K57">IF($A57="",0,MIN(IF(P_Baremes!$A$5:$A$400=$A57,P_Baremes!$H$5:$H$400)))</f>
        <v>0</v>
      </c>
      <c r="L57" s="16">
        <f>IF($A57="",0,IF($O57="NUM",IF(ISNUMBER($E57),SUMPRODUCT((P_Baremes!$A$5:$A$400=$A57)*(P_Baremes!$B$5:$B$400="PLAGE")*(((P_Baremes!$D$5:$D$400="")+($E57&gt;=P_Baremes!$D$5:$D$400))&gt;0)*(((P_Baremes!$E$5:$E$400="")+($E57&lt;P_Baremes!$E$5:$E$400))&gt;0)),0),SUMPRODUCT((P_Baremes!$A$5:$A$400=$A57)*(P_Baremes!$B$5:$B$400="MODALITE")*(P_Baremes!$C$5:$C$400=$E57))))</f>
        <v>0</v>
      </c>
      <c r="M57" s="16">
        <f>IF($A57="",0,IF($L57=0,0,IF($O57="NUM",SUMPRODUCT((P_Baremes!$A$5:$A$400=$A57)*(P_Baremes!$B$5:$B$400="PLAGE")*(((P_Baremes!$D$5:$D$400="")+($E57&gt;=P_Baremes!$D$5:$D$400))&gt;0)*(((P_Baremes!$E$5:$E$400="")+($E57&lt;P_Baremes!$E$5:$E$400))&gt;0)*P_Baremes!$H$5:$H$400),SUMPRODUCT((P_Baremes!$A$5:$A$400=$A57)*(P_Baremes!$B$5:$B$400="MODALITE")*(P_Baremes!$C$5:$C$400=$E57)*P_Baremes!$H$5:$H$400))))</f>
        <v>0</v>
      </c>
      <c r="N57" s="8">
        <f>IF($A57="","",P_Criteres!J18)</f>
        <v>0</v>
      </c>
      <c r="O57" s="8">
        <f>IF($A57="","",P_Criteres!D18)</f>
        <v>0</v>
      </c>
      <c r="P57" s="16">
        <f>IF($A57="",0,IFERROR(INDEX(P_DomPoids,MATCH($B57,P_DomCodes,0)),0))</f>
        <v>0</v>
      </c>
      <c r="Q57" s="16">
        <f>P57*G57</f>
        <v>0</v>
      </c>
      <c r="R57" s="8">
        <f>IF(J57,IF(ISNUMBER(SEARCH(","&amp;D57&amp;",",","&amp;R56&amp;",")),R56,R56&amp;IF(R56="","",",")&amp;D57),R56)</f>
        <v>0</v>
      </c>
      <c r="S57" s="8">
        <f>IF(I57,S56&amp;IF(S56="","",", ")&amp;A57,S56)</f>
        <v>0</v>
      </c>
    </row>
    <row r="58" spans="1:19">
      <c r="A58" s="8">
        <f>IF(P_Criteres!A19="","",P_Criteres!A19)</f>
        <v>0</v>
      </c>
      <c r="B58" s="8">
        <f>IF($A58="","",P_Criteres!B19)</f>
        <v>0</v>
      </c>
      <c r="C58" s="8">
        <f>IF($A58="","",P_Criteres!C19)</f>
        <v>0</v>
      </c>
      <c r="D58" s="8">
        <f>IF($A58="","",P_Criteres!F19)</f>
        <v>0</v>
      </c>
      <c r="E58" s="8">
        <f>IF($A58="","",IFERROR(INDEX(In_Retenue,MATCH($D58,In_Cles,0)),""))</f>
        <v>0</v>
      </c>
      <c r="F58" s="16">
        <f>IF($A58="",0,ROUND(MIN(P_Scale,MAX(0,IF($L58=0,$K58,$M58))),2))</f>
        <v>0</v>
      </c>
      <c r="G58" s="16">
        <f>IF($A58="",0,P_Criteres!E19)</f>
        <v>0</v>
      </c>
      <c r="H58" s="16">
        <f>ROUND(F58*G58,2)</f>
        <v>0</v>
      </c>
      <c r="I58" s="8">
        <f>IF($A58="",FALSE,AND(P_Criteres!G19="Oui",ISNUMBER(P_Criteres!H19),F58&lt;=N(P_Criteres!H19)))</f>
        <v>0</v>
      </c>
      <c r="J58" s="8">
        <f>IF($A58="",FALSE,AND(OR(P_Criteres!G19="Oui",P_Criteres!K19="Oui"),$E58=""))</f>
        <v>0</v>
      </c>
      <c r="K58" s="16">
        <f t="array" ref="K58">IF($A58="",0,MIN(IF(P_Baremes!$A$5:$A$400=$A58,P_Baremes!$H$5:$H$400)))</f>
        <v>0</v>
      </c>
      <c r="L58" s="16">
        <f>IF($A58="",0,IF($O58="NUM",IF(ISNUMBER($E58),SUMPRODUCT((P_Baremes!$A$5:$A$400=$A58)*(P_Baremes!$B$5:$B$400="PLAGE")*(((P_Baremes!$D$5:$D$400="")+($E58&gt;=P_Baremes!$D$5:$D$400))&gt;0)*(((P_Baremes!$E$5:$E$400="")+($E58&lt;P_Baremes!$E$5:$E$400))&gt;0)),0),SUMPRODUCT((P_Baremes!$A$5:$A$400=$A58)*(P_Baremes!$B$5:$B$400="MODALITE")*(P_Baremes!$C$5:$C$400=$E58))))</f>
        <v>0</v>
      </c>
      <c r="M58" s="16">
        <f>IF($A58="",0,IF($L58=0,0,IF($O58="NUM",SUMPRODUCT((P_Baremes!$A$5:$A$400=$A58)*(P_Baremes!$B$5:$B$400="PLAGE")*(((P_Baremes!$D$5:$D$400="")+($E58&gt;=P_Baremes!$D$5:$D$400))&gt;0)*(((P_Baremes!$E$5:$E$400="")+($E58&lt;P_Baremes!$E$5:$E$400))&gt;0)*P_Baremes!$H$5:$H$400),SUMPRODUCT((P_Baremes!$A$5:$A$400=$A58)*(P_Baremes!$B$5:$B$400="MODALITE")*(P_Baremes!$C$5:$C$400=$E58)*P_Baremes!$H$5:$H$400))))</f>
        <v>0</v>
      </c>
      <c r="N58" s="8">
        <f>IF($A58="","",P_Criteres!J19)</f>
        <v>0</v>
      </c>
      <c r="O58" s="8">
        <f>IF($A58="","",P_Criteres!D19)</f>
        <v>0</v>
      </c>
      <c r="P58" s="16">
        <f>IF($A58="",0,IFERROR(INDEX(P_DomPoids,MATCH($B58,P_DomCodes,0)),0))</f>
        <v>0</v>
      </c>
      <c r="Q58" s="16">
        <f>P58*G58</f>
        <v>0</v>
      </c>
      <c r="R58" s="8">
        <f>IF(J58,IF(ISNUMBER(SEARCH(","&amp;D58&amp;",",","&amp;R57&amp;",")),R57,R57&amp;IF(R57="","",",")&amp;D58),R57)</f>
        <v>0</v>
      </c>
      <c r="S58" s="8">
        <f>IF(I58,S57&amp;IF(S57="","",", ")&amp;A58,S57)</f>
        <v>0</v>
      </c>
    </row>
    <row r="59" spans="1:19">
      <c r="A59" s="8">
        <f>IF(P_Criteres!A20="","",P_Criteres!A20)</f>
        <v>0</v>
      </c>
      <c r="B59" s="8">
        <f>IF($A59="","",P_Criteres!B20)</f>
        <v>0</v>
      </c>
      <c r="C59" s="8">
        <f>IF($A59="","",P_Criteres!C20)</f>
        <v>0</v>
      </c>
      <c r="D59" s="8">
        <f>IF($A59="","",P_Criteres!F20)</f>
        <v>0</v>
      </c>
      <c r="E59" s="8">
        <f>IF($A59="","",IFERROR(INDEX(In_Retenue,MATCH($D59,In_Cles,0)),""))</f>
        <v>0</v>
      </c>
      <c r="F59" s="16">
        <f>IF($A59="",0,ROUND(MIN(P_Scale,MAX(0,IF($L59=0,$K59,$M59))),2))</f>
        <v>0</v>
      </c>
      <c r="G59" s="16">
        <f>IF($A59="",0,P_Criteres!E20)</f>
        <v>0</v>
      </c>
      <c r="H59" s="16">
        <f>ROUND(F59*G59,2)</f>
        <v>0</v>
      </c>
      <c r="I59" s="8">
        <f>IF($A59="",FALSE,AND(P_Criteres!G20="Oui",ISNUMBER(P_Criteres!H20),F59&lt;=N(P_Criteres!H20)))</f>
        <v>0</v>
      </c>
      <c r="J59" s="8">
        <f>IF($A59="",FALSE,AND(OR(P_Criteres!G20="Oui",P_Criteres!K20="Oui"),$E59=""))</f>
        <v>0</v>
      </c>
      <c r="K59" s="16">
        <f t="array" ref="K59">IF($A59="",0,MIN(IF(P_Baremes!$A$5:$A$400=$A59,P_Baremes!$H$5:$H$400)))</f>
        <v>0</v>
      </c>
      <c r="L59" s="16">
        <f>IF($A59="",0,IF($O59="NUM",IF(ISNUMBER($E59),SUMPRODUCT((P_Baremes!$A$5:$A$400=$A59)*(P_Baremes!$B$5:$B$400="PLAGE")*(((P_Baremes!$D$5:$D$400="")+($E59&gt;=P_Baremes!$D$5:$D$400))&gt;0)*(((P_Baremes!$E$5:$E$400="")+($E59&lt;P_Baremes!$E$5:$E$400))&gt;0)),0),SUMPRODUCT((P_Baremes!$A$5:$A$400=$A59)*(P_Baremes!$B$5:$B$400="MODALITE")*(P_Baremes!$C$5:$C$400=$E59))))</f>
        <v>0</v>
      </c>
      <c r="M59" s="16">
        <f>IF($A59="",0,IF($L59=0,0,IF($O59="NUM",SUMPRODUCT((P_Baremes!$A$5:$A$400=$A59)*(P_Baremes!$B$5:$B$400="PLAGE")*(((P_Baremes!$D$5:$D$400="")+($E59&gt;=P_Baremes!$D$5:$D$400))&gt;0)*(((P_Baremes!$E$5:$E$400="")+($E59&lt;P_Baremes!$E$5:$E$400))&gt;0)*P_Baremes!$H$5:$H$400),SUMPRODUCT((P_Baremes!$A$5:$A$400=$A59)*(P_Baremes!$B$5:$B$400="MODALITE")*(P_Baremes!$C$5:$C$400=$E59)*P_Baremes!$H$5:$H$400))))</f>
        <v>0</v>
      </c>
      <c r="N59" s="8">
        <f>IF($A59="","",P_Criteres!J20)</f>
        <v>0</v>
      </c>
      <c r="O59" s="8">
        <f>IF($A59="","",P_Criteres!D20)</f>
        <v>0</v>
      </c>
      <c r="P59" s="16">
        <f>IF($A59="",0,IFERROR(INDEX(P_DomPoids,MATCH($B59,P_DomCodes,0)),0))</f>
        <v>0</v>
      </c>
      <c r="Q59" s="16">
        <f>P59*G59</f>
        <v>0</v>
      </c>
      <c r="R59" s="8">
        <f>IF(J59,IF(ISNUMBER(SEARCH(","&amp;D59&amp;",",","&amp;R58&amp;",")),R58,R58&amp;IF(R58="","",",")&amp;D59),R58)</f>
        <v>0</v>
      </c>
      <c r="S59" s="8">
        <f>IF(I59,S58&amp;IF(S58="","",", ")&amp;A59,S58)</f>
        <v>0</v>
      </c>
    </row>
    <row r="60" spans="1:19">
      <c r="A60" s="8">
        <f>IF(P_Criteres!A21="","",P_Criteres!A21)</f>
        <v>0</v>
      </c>
      <c r="B60" s="8">
        <f>IF($A60="","",P_Criteres!B21)</f>
        <v>0</v>
      </c>
      <c r="C60" s="8">
        <f>IF($A60="","",P_Criteres!C21)</f>
        <v>0</v>
      </c>
      <c r="D60" s="8">
        <f>IF($A60="","",P_Criteres!F21)</f>
        <v>0</v>
      </c>
      <c r="E60" s="8">
        <f>IF($A60="","",IFERROR(INDEX(In_Retenue,MATCH($D60,In_Cles,0)),""))</f>
        <v>0</v>
      </c>
      <c r="F60" s="16">
        <f>IF($A60="",0,ROUND(MIN(P_Scale,MAX(0,IF($L60=0,$K60,$M60))),2))</f>
        <v>0</v>
      </c>
      <c r="G60" s="16">
        <f>IF($A60="",0,P_Criteres!E21)</f>
        <v>0</v>
      </c>
      <c r="H60" s="16">
        <f>ROUND(F60*G60,2)</f>
        <v>0</v>
      </c>
      <c r="I60" s="8">
        <f>IF($A60="",FALSE,AND(P_Criteres!G21="Oui",ISNUMBER(P_Criteres!H21),F60&lt;=N(P_Criteres!H21)))</f>
        <v>0</v>
      </c>
      <c r="J60" s="8">
        <f>IF($A60="",FALSE,AND(OR(P_Criteres!G21="Oui",P_Criteres!K21="Oui"),$E60=""))</f>
        <v>0</v>
      </c>
      <c r="K60" s="16">
        <f t="array" ref="K60">IF($A60="",0,MIN(IF(P_Baremes!$A$5:$A$400=$A60,P_Baremes!$H$5:$H$400)))</f>
        <v>0</v>
      </c>
      <c r="L60" s="16">
        <f>IF($A60="",0,IF($O60="NUM",IF(ISNUMBER($E60),SUMPRODUCT((P_Baremes!$A$5:$A$400=$A60)*(P_Baremes!$B$5:$B$400="PLAGE")*(((P_Baremes!$D$5:$D$400="")+($E60&gt;=P_Baremes!$D$5:$D$400))&gt;0)*(((P_Baremes!$E$5:$E$400="")+($E60&lt;P_Baremes!$E$5:$E$400))&gt;0)),0),SUMPRODUCT((P_Baremes!$A$5:$A$400=$A60)*(P_Baremes!$B$5:$B$400="MODALITE")*(P_Baremes!$C$5:$C$400=$E60))))</f>
        <v>0</v>
      </c>
      <c r="M60" s="16">
        <f>IF($A60="",0,IF($L60=0,0,IF($O60="NUM",SUMPRODUCT((P_Baremes!$A$5:$A$400=$A60)*(P_Baremes!$B$5:$B$400="PLAGE")*(((P_Baremes!$D$5:$D$400="")+($E60&gt;=P_Baremes!$D$5:$D$400))&gt;0)*(((P_Baremes!$E$5:$E$400="")+($E60&lt;P_Baremes!$E$5:$E$400))&gt;0)*P_Baremes!$H$5:$H$400),SUMPRODUCT((P_Baremes!$A$5:$A$400=$A60)*(P_Baremes!$B$5:$B$400="MODALITE")*(P_Baremes!$C$5:$C$400=$E60)*P_Baremes!$H$5:$H$400))))</f>
        <v>0</v>
      </c>
      <c r="N60" s="8">
        <f>IF($A60="","",P_Criteres!J21)</f>
        <v>0</v>
      </c>
      <c r="O60" s="8">
        <f>IF($A60="","",P_Criteres!D21)</f>
        <v>0</v>
      </c>
      <c r="P60" s="16">
        <f>IF($A60="",0,IFERROR(INDEX(P_DomPoids,MATCH($B60,P_DomCodes,0)),0))</f>
        <v>0</v>
      </c>
      <c r="Q60" s="16">
        <f>P60*G60</f>
        <v>0</v>
      </c>
      <c r="R60" s="8">
        <f>IF(J60,IF(ISNUMBER(SEARCH(","&amp;D60&amp;",",","&amp;R59&amp;",")),R59,R59&amp;IF(R59="","",",")&amp;D60),R59)</f>
        <v>0</v>
      </c>
      <c r="S60" s="8">
        <f>IF(I60,S59&amp;IF(S59="","",", ")&amp;A60,S59)</f>
        <v>0</v>
      </c>
    </row>
    <row r="61" spans="1:19">
      <c r="A61" s="8">
        <f>IF(P_Criteres!A22="","",P_Criteres!A22)</f>
        <v>0</v>
      </c>
      <c r="B61" s="8">
        <f>IF($A61="","",P_Criteres!B22)</f>
        <v>0</v>
      </c>
      <c r="C61" s="8">
        <f>IF($A61="","",P_Criteres!C22)</f>
        <v>0</v>
      </c>
      <c r="D61" s="8">
        <f>IF($A61="","",P_Criteres!F22)</f>
        <v>0</v>
      </c>
      <c r="E61" s="8">
        <f>IF($A61="","",IFERROR(INDEX(In_Retenue,MATCH($D61,In_Cles,0)),""))</f>
        <v>0</v>
      </c>
      <c r="F61" s="16">
        <f>IF($A61="",0,ROUND(MIN(P_Scale,MAX(0,IF($L61=0,$K61,$M61))),2))</f>
        <v>0</v>
      </c>
      <c r="G61" s="16">
        <f>IF($A61="",0,P_Criteres!E22)</f>
        <v>0</v>
      </c>
      <c r="H61" s="16">
        <f>ROUND(F61*G61,2)</f>
        <v>0</v>
      </c>
      <c r="I61" s="8">
        <f>IF($A61="",FALSE,AND(P_Criteres!G22="Oui",ISNUMBER(P_Criteres!H22),F61&lt;=N(P_Criteres!H22)))</f>
        <v>0</v>
      </c>
      <c r="J61" s="8">
        <f>IF($A61="",FALSE,AND(OR(P_Criteres!G22="Oui",P_Criteres!K22="Oui"),$E61=""))</f>
        <v>0</v>
      </c>
      <c r="K61" s="16">
        <f t="array" ref="K61">IF($A61="",0,MIN(IF(P_Baremes!$A$5:$A$400=$A61,P_Baremes!$H$5:$H$400)))</f>
        <v>0</v>
      </c>
      <c r="L61" s="16">
        <f>IF($A61="",0,IF($O61="NUM",IF(ISNUMBER($E61),SUMPRODUCT((P_Baremes!$A$5:$A$400=$A61)*(P_Baremes!$B$5:$B$400="PLAGE")*(((P_Baremes!$D$5:$D$400="")+($E61&gt;=P_Baremes!$D$5:$D$400))&gt;0)*(((P_Baremes!$E$5:$E$400="")+($E61&lt;P_Baremes!$E$5:$E$400))&gt;0)),0),SUMPRODUCT((P_Baremes!$A$5:$A$400=$A61)*(P_Baremes!$B$5:$B$400="MODALITE")*(P_Baremes!$C$5:$C$400=$E61))))</f>
        <v>0</v>
      </c>
      <c r="M61" s="16">
        <f>IF($A61="",0,IF($L61=0,0,IF($O61="NUM",SUMPRODUCT((P_Baremes!$A$5:$A$400=$A61)*(P_Baremes!$B$5:$B$400="PLAGE")*(((P_Baremes!$D$5:$D$400="")+($E61&gt;=P_Baremes!$D$5:$D$400))&gt;0)*(((P_Baremes!$E$5:$E$400="")+($E61&lt;P_Baremes!$E$5:$E$400))&gt;0)*P_Baremes!$H$5:$H$400),SUMPRODUCT((P_Baremes!$A$5:$A$400=$A61)*(P_Baremes!$B$5:$B$400="MODALITE")*(P_Baremes!$C$5:$C$400=$E61)*P_Baremes!$H$5:$H$400))))</f>
        <v>0</v>
      </c>
      <c r="N61" s="8">
        <f>IF($A61="","",P_Criteres!J22)</f>
        <v>0</v>
      </c>
      <c r="O61" s="8">
        <f>IF($A61="","",P_Criteres!D22)</f>
        <v>0</v>
      </c>
      <c r="P61" s="16">
        <f>IF($A61="",0,IFERROR(INDEX(P_DomPoids,MATCH($B61,P_DomCodes,0)),0))</f>
        <v>0</v>
      </c>
      <c r="Q61" s="16">
        <f>P61*G61</f>
        <v>0</v>
      </c>
      <c r="R61" s="8">
        <f>IF(J61,IF(ISNUMBER(SEARCH(","&amp;D61&amp;",",","&amp;R60&amp;",")),R60,R60&amp;IF(R60="","",",")&amp;D61),R60)</f>
        <v>0</v>
      </c>
      <c r="S61" s="8">
        <f>IF(I61,S60&amp;IF(S60="","",", ")&amp;A61,S60)</f>
        <v>0</v>
      </c>
    </row>
    <row r="62" spans="1:19">
      <c r="A62" s="8">
        <f>IF(P_Criteres!A23="","",P_Criteres!A23)</f>
        <v>0</v>
      </c>
      <c r="B62" s="8">
        <f>IF($A62="","",P_Criteres!B23)</f>
        <v>0</v>
      </c>
      <c r="C62" s="8">
        <f>IF($A62="","",P_Criteres!C23)</f>
        <v>0</v>
      </c>
      <c r="D62" s="8">
        <f>IF($A62="","",P_Criteres!F23)</f>
        <v>0</v>
      </c>
      <c r="E62" s="8">
        <f>IF($A62="","",IFERROR(INDEX(In_Retenue,MATCH($D62,In_Cles,0)),""))</f>
        <v>0</v>
      </c>
      <c r="F62" s="16">
        <f>IF($A62="",0,ROUND(MIN(P_Scale,MAX(0,IF($L62=0,$K62,$M62))),2))</f>
        <v>0</v>
      </c>
      <c r="G62" s="16">
        <f>IF($A62="",0,P_Criteres!E23)</f>
        <v>0</v>
      </c>
      <c r="H62" s="16">
        <f>ROUND(F62*G62,2)</f>
        <v>0</v>
      </c>
      <c r="I62" s="8">
        <f>IF($A62="",FALSE,AND(P_Criteres!G23="Oui",ISNUMBER(P_Criteres!H23),F62&lt;=N(P_Criteres!H23)))</f>
        <v>0</v>
      </c>
      <c r="J62" s="8">
        <f>IF($A62="",FALSE,AND(OR(P_Criteres!G23="Oui",P_Criteres!K23="Oui"),$E62=""))</f>
        <v>0</v>
      </c>
      <c r="K62" s="16">
        <f t="array" ref="K62">IF($A62="",0,MIN(IF(P_Baremes!$A$5:$A$400=$A62,P_Baremes!$H$5:$H$400)))</f>
        <v>0</v>
      </c>
      <c r="L62" s="16">
        <f>IF($A62="",0,IF($O62="NUM",IF(ISNUMBER($E62),SUMPRODUCT((P_Baremes!$A$5:$A$400=$A62)*(P_Baremes!$B$5:$B$400="PLAGE")*(((P_Baremes!$D$5:$D$400="")+($E62&gt;=P_Baremes!$D$5:$D$400))&gt;0)*(((P_Baremes!$E$5:$E$400="")+($E62&lt;P_Baremes!$E$5:$E$400))&gt;0)),0),SUMPRODUCT((P_Baremes!$A$5:$A$400=$A62)*(P_Baremes!$B$5:$B$400="MODALITE")*(P_Baremes!$C$5:$C$400=$E62))))</f>
        <v>0</v>
      </c>
      <c r="M62" s="16">
        <f>IF($A62="",0,IF($L62=0,0,IF($O62="NUM",SUMPRODUCT((P_Baremes!$A$5:$A$400=$A62)*(P_Baremes!$B$5:$B$400="PLAGE")*(((P_Baremes!$D$5:$D$400="")+($E62&gt;=P_Baremes!$D$5:$D$400))&gt;0)*(((P_Baremes!$E$5:$E$400="")+($E62&lt;P_Baremes!$E$5:$E$400))&gt;0)*P_Baremes!$H$5:$H$400),SUMPRODUCT((P_Baremes!$A$5:$A$400=$A62)*(P_Baremes!$B$5:$B$400="MODALITE")*(P_Baremes!$C$5:$C$400=$E62)*P_Baremes!$H$5:$H$400))))</f>
        <v>0</v>
      </c>
      <c r="N62" s="8">
        <f>IF($A62="","",P_Criteres!J23)</f>
        <v>0</v>
      </c>
      <c r="O62" s="8">
        <f>IF($A62="","",P_Criteres!D23)</f>
        <v>0</v>
      </c>
      <c r="P62" s="16">
        <f>IF($A62="",0,IFERROR(INDEX(P_DomPoids,MATCH($B62,P_DomCodes,0)),0))</f>
        <v>0</v>
      </c>
      <c r="Q62" s="16">
        <f>P62*G62</f>
        <v>0</v>
      </c>
      <c r="R62" s="8">
        <f>IF(J62,IF(ISNUMBER(SEARCH(","&amp;D62&amp;",",","&amp;R61&amp;",")),R61,R61&amp;IF(R61="","",",")&amp;D62),R61)</f>
        <v>0</v>
      </c>
      <c r="S62" s="8">
        <f>IF(I62,S61&amp;IF(S61="","",", ")&amp;A62,S61)</f>
        <v>0</v>
      </c>
    </row>
    <row r="63" spans="1:19">
      <c r="A63" s="8">
        <f>IF(P_Criteres!A24="","",P_Criteres!A24)</f>
        <v>0</v>
      </c>
      <c r="B63" s="8">
        <f>IF($A63="","",P_Criteres!B24)</f>
        <v>0</v>
      </c>
      <c r="C63" s="8">
        <f>IF($A63="","",P_Criteres!C24)</f>
        <v>0</v>
      </c>
      <c r="D63" s="8">
        <f>IF($A63="","",P_Criteres!F24)</f>
        <v>0</v>
      </c>
      <c r="E63" s="8">
        <f>IF($A63="","",IFERROR(INDEX(In_Retenue,MATCH($D63,In_Cles,0)),""))</f>
        <v>0</v>
      </c>
      <c r="F63" s="16">
        <f>IF($A63="",0,ROUND(MIN(P_Scale,MAX(0,IF($L63=0,$K63,$M63))),2))</f>
        <v>0</v>
      </c>
      <c r="G63" s="16">
        <f>IF($A63="",0,P_Criteres!E24)</f>
        <v>0</v>
      </c>
      <c r="H63" s="16">
        <f>ROUND(F63*G63,2)</f>
        <v>0</v>
      </c>
      <c r="I63" s="8">
        <f>IF($A63="",FALSE,AND(P_Criteres!G24="Oui",ISNUMBER(P_Criteres!H24),F63&lt;=N(P_Criteres!H24)))</f>
        <v>0</v>
      </c>
      <c r="J63" s="8">
        <f>IF($A63="",FALSE,AND(OR(P_Criteres!G24="Oui",P_Criteres!K24="Oui"),$E63=""))</f>
        <v>0</v>
      </c>
      <c r="K63" s="16">
        <f t="array" ref="K63">IF($A63="",0,MIN(IF(P_Baremes!$A$5:$A$400=$A63,P_Baremes!$H$5:$H$400)))</f>
        <v>0</v>
      </c>
      <c r="L63" s="16">
        <f>IF($A63="",0,IF($O63="NUM",IF(ISNUMBER($E63),SUMPRODUCT((P_Baremes!$A$5:$A$400=$A63)*(P_Baremes!$B$5:$B$400="PLAGE")*(((P_Baremes!$D$5:$D$400="")+($E63&gt;=P_Baremes!$D$5:$D$400))&gt;0)*(((P_Baremes!$E$5:$E$400="")+($E63&lt;P_Baremes!$E$5:$E$400))&gt;0)),0),SUMPRODUCT((P_Baremes!$A$5:$A$400=$A63)*(P_Baremes!$B$5:$B$400="MODALITE")*(P_Baremes!$C$5:$C$400=$E63))))</f>
        <v>0</v>
      </c>
      <c r="M63" s="16">
        <f>IF($A63="",0,IF($L63=0,0,IF($O63="NUM",SUMPRODUCT((P_Baremes!$A$5:$A$400=$A63)*(P_Baremes!$B$5:$B$400="PLAGE")*(((P_Baremes!$D$5:$D$400="")+($E63&gt;=P_Baremes!$D$5:$D$400))&gt;0)*(((P_Baremes!$E$5:$E$400="")+($E63&lt;P_Baremes!$E$5:$E$400))&gt;0)*P_Baremes!$H$5:$H$400),SUMPRODUCT((P_Baremes!$A$5:$A$400=$A63)*(P_Baremes!$B$5:$B$400="MODALITE")*(P_Baremes!$C$5:$C$400=$E63)*P_Baremes!$H$5:$H$400))))</f>
        <v>0</v>
      </c>
      <c r="N63" s="8">
        <f>IF($A63="","",P_Criteres!J24)</f>
        <v>0</v>
      </c>
      <c r="O63" s="8">
        <f>IF($A63="","",P_Criteres!D24)</f>
        <v>0</v>
      </c>
      <c r="P63" s="16">
        <f>IF($A63="",0,IFERROR(INDEX(P_DomPoids,MATCH($B63,P_DomCodes,0)),0))</f>
        <v>0</v>
      </c>
      <c r="Q63" s="16">
        <f>P63*G63</f>
        <v>0</v>
      </c>
      <c r="R63" s="8">
        <f>IF(J63,IF(ISNUMBER(SEARCH(","&amp;D63&amp;",",","&amp;R62&amp;",")),R62,R62&amp;IF(R62="","",",")&amp;D63),R62)</f>
        <v>0</v>
      </c>
      <c r="S63" s="8">
        <f>IF(I63,S62&amp;IF(S62="","",", ")&amp;A63,S62)</f>
        <v>0</v>
      </c>
    </row>
    <row r="64" spans="1:19">
      <c r="A64" s="8">
        <f>IF(P_Criteres!A25="","",P_Criteres!A25)</f>
        <v>0</v>
      </c>
      <c r="B64" s="8">
        <f>IF($A64="","",P_Criteres!B25)</f>
        <v>0</v>
      </c>
      <c r="C64" s="8">
        <f>IF($A64="","",P_Criteres!C25)</f>
        <v>0</v>
      </c>
      <c r="D64" s="8">
        <f>IF($A64="","",P_Criteres!F25)</f>
        <v>0</v>
      </c>
      <c r="E64" s="8">
        <f>IF($A64="","",IFERROR(INDEX(In_Retenue,MATCH($D64,In_Cles,0)),""))</f>
        <v>0</v>
      </c>
      <c r="F64" s="16">
        <f>IF($A64="",0,ROUND(MIN(P_Scale,MAX(0,IF($L64=0,$K64,$M64))),2))</f>
        <v>0</v>
      </c>
      <c r="G64" s="16">
        <f>IF($A64="",0,P_Criteres!E25)</f>
        <v>0</v>
      </c>
      <c r="H64" s="16">
        <f>ROUND(F64*G64,2)</f>
        <v>0</v>
      </c>
      <c r="I64" s="8">
        <f>IF($A64="",FALSE,AND(P_Criteres!G25="Oui",ISNUMBER(P_Criteres!H25),F64&lt;=N(P_Criteres!H25)))</f>
        <v>0</v>
      </c>
      <c r="J64" s="8">
        <f>IF($A64="",FALSE,AND(OR(P_Criteres!G25="Oui",P_Criteres!K25="Oui"),$E64=""))</f>
        <v>0</v>
      </c>
      <c r="K64" s="16">
        <f t="array" ref="K64">IF($A64="",0,MIN(IF(P_Baremes!$A$5:$A$400=$A64,P_Baremes!$H$5:$H$400)))</f>
        <v>0</v>
      </c>
      <c r="L64" s="16">
        <f>IF($A64="",0,IF($O64="NUM",IF(ISNUMBER($E64),SUMPRODUCT((P_Baremes!$A$5:$A$400=$A64)*(P_Baremes!$B$5:$B$400="PLAGE")*(((P_Baremes!$D$5:$D$400="")+($E64&gt;=P_Baremes!$D$5:$D$400))&gt;0)*(((P_Baremes!$E$5:$E$400="")+($E64&lt;P_Baremes!$E$5:$E$400))&gt;0)),0),SUMPRODUCT((P_Baremes!$A$5:$A$400=$A64)*(P_Baremes!$B$5:$B$400="MODALITE")*(P_Baremes!$C$5:$C$400=$E64))))</f>
        <v>0</v>
      </c>
      <c r="M64" s="16">
        <f>IF($A64="",0,IF($L64=0,0,IF($O64="NUM",SUMPRODUCT((P_Baremes!$A$5:$A$400=$A64)*(P_Baremes!$B$5:$B$400="PLAGE")*(((P_Baremes!$D$5:$D$400="")+($E64&gt;=P_Baremes!$D$5:$D$400))&gt;0)*(((P_Baremes!$E$5:$E$400="")+($E64&lt;P_Baremes!$E$5:$E$400))&gt;0)*P_Baremes!$H$5:$H$400),SUMPRODUCT((P_Baremes!$A$5:$A$400=$A64)*(P_Baremes!$B$5:$B$400="MODALITE")*(P_Baremes!$C$5:$C$400=$E64)*P_Baremes!$H$5:$H$400))))</f>
        <v>0</v>
      </c>
      <c r="N64" s="8">
        <f>IF($A64="","",P_Criteres!J25)</f>
        <v>0</v>
      </c>
      <c r="O64" s="8">
        <f>IF($A64="","",P_Criteres!D25)</f>
        <v>0</v>
      </c>
      <c r="P64" s="16">
        <f>IF($A64="",0,IFERROR(INDEX(P_DomPoids,MATCH($B64,P_DomCodes,0)),0))</f>
        <v>0</v>
      </c>
      <c r="Q64" s="16">
        <f>P64*G64</f>
        <v>0</v>
      </c>
      <c r="R64" s="8">
        <f>IF(J64,IF(ISNUMBER(SEARCH(","&amp;D64&amp;",",","&amp;R63&amp;",")),R63,R63&amp;IF(R63="","",",")&amp;D64),R63)</f>
        <v>0</v>
      </c>
      <c r="S64" s="8">
        <f>IF(I64,S63&amp;IF(S63="","",", ")&amp;A64,S63)</f>
        <v>0</v>
      </c>
    </row>
    <row r="65" spans="1:19">
      <c r="A65" s="8">
        <f>IF(P_Criteres!A26="","",P_Criteres!A26)</f>
        <v>0</v>
      </c>
      <c r="B65" s="8">
        <f>IF($A65="","",P_Criteres!B26)</f>
        <v>0</v>
      </c>
      <c r="C65" s="8">
        <f>IF($A65="","",P_Criteres!C26)</f>
        <v>0</v>
      </c>
      <c r="D65" s="8">
        <f>IF($A65="","",P_Criteres!F26)</f>
        <v>0</v>
      </c>
      <c r="E65" s="8">
        <f>IF($A65="","",IFERROR(INDEX(In_Retenue,MATCH($D65,In_Cles,0)),""))</f>
        <v>0</v>
      </c>
      <c r="F65" s="16">
        <f>IF($A65="",0,ROUND(MIN(P_Scale,MAX(0,IF($L65=0,$K65,$M65))),2))</f>
        <v>0</v>
      </c>
      <c r="G65" s="16">
        <f>IF($A65="",0,P_Criteres!E26)</f>
        <v>0</v>
      </c>
      <c r="H65" s="16">
        <f>ROUND(F65*G65,2)</f>
        <v>0</v>
      </c>
      <c r="I65" s="8">
        <f>IF($A65="",FALSE,AND(P_Criteres!G26="Oui",ISNUMBER(P_Criteres!H26),F65&lt;=N(P_Criteres!H26)))</f>
        <v>0</v>
      </c>
      <c r="J65" s="8">
        <f>IF($A65="",FALSE,AND(OR(P_Criteres!G26="Oui",P_Criteres!K26="Oui"),$E65=""))</f>
        <v>0</v>
      </c>
      <c r="K65" s="16">
        <f t="array" ref="K65">IF($A65="",0,MIN(IF(P_Baremes!$A$5:$A$400=$A65,P_Baremes!$H$5:$H$400)))</f>
        <v>0</v>
      </c>
      <c r="L65" s="16">
        <f>IF($A65="",0,IF($O65="NUM",IF(ISNUMBER($E65),SUMPRODUCT((P_Baremes!$A$5:$A$400=$A65)*(P_Baremes!$B$5:$B$400="PLAGE")*(((P_Baremes!$D$5:$D$400="")+($E65&gt;=P_Baremes!$D$5:$D$400))&gt;0)*(((P_Baremes!$E$5:$E$400="")+($E65&lt;P_Baremes!$E$5:$E$400))&gt;0)),0),SUMPRODUCT((P_Baremes!$A$5:$A$400=$A65)*(P_Baremes!$B$5:$B$400="MODALITE")*(P_Baremes!$C$5:$C$400=$E65))))</f>
        <v>0</v>
      </c>
      <c r="M65" s="16">
        <f>IF($A65="",0,IF($L65=0,0,IF($O65="NUM",SUMPRODUCT((P_Baremes!$A$5:$A$400=$A65)*(P_Baremes!$B$5:$B$400="PLAGE")*(((P_Baremes!$D$5:$D$400="")+($E65&gt;=P_Baremes!$D$5:$D$400))&gt;0)*(((P_Baremes!$E$5:$E$400="")+($E65&lt;P_Baremes!$E$5:$E$400))&gt;0)*P_Baremes!$H$5:$H$400),SUMPRODUCT((P_Baremes!$A$5:$A$400=$A65)*(P_Baremes!$B$5:$B$400="MODALITE")*(P_Baremes!$C$5:$C$400=$E65)*P_Baremes!$H$5:$H$400))))</f>
        <v>0</v>
      </c>
      <c r="N65" s="8">
        <f>IF($A65="","",P_Criteres!J26)</f>
        <v>0</v>
      </c>
      <c r="O65" s="8">
        <f>IF($A65="","",P_Criteres!D26)</f>
        <v>0</v>
      </c>
      <c r="P65" s="16">
        <f>IF($A65="",0,IFERROR(INDEX(P_DomPoids,MATCH($B65,P_DomCodes,0)),0))</f>
        <v>0</v>
      </c>
      <c r="Q65" s="16">
        <f>P65*G65</f>
        <v>0</v>
      </c>
      <c r="R65" s="8">
        <f>IF(J65,IF(ISNUMBER(SEARCH(","&amp;D65&amp;",",","&amp;R64&amp;",")),R64,R64&amp;IF(R64="","",",")&amp;D65),R64)</f>
        <v>0</v>
      </c>
      <c r="S65" s="8">
        <f>IF(I65,S64&amp;IF(S64="","",", ")&amp;A65,S64)</f>
        <v>0</v>
      </c>
    </row>
    <row r="66" spans="1:19">
      <c r="A66" s="8">
        <f>IF(P_Criteres!A27="","",P_Criteres!A27)</f>
        <v>0</v>
      </c>
      <c r="B66" s="8">
        <f>IF($A66="","",P_Criteres!B27)</f>
        <v>0</v>
      </c>
      <c r="C66" s="8">
        <f>IF($A66="","",P_Criteres!C27)</f>
        <v>0</v>
      </c>
      <c r="D66" s="8">
        <f>IF($A66="","",P_Criteres!F27)</f>
        <v>0</v>
      </c>
      <c r="E66" s="8">
        <f>IF($A66="","",IFERROR(INDEX(In_Retenue,MATCH($D66,In_Cles,0)),""))</f>
        <v>0</v>
      </c>
      <c r="F66" s="16">
        <f>IF($A66="",0,ROUND(MIN(P_Scale,MAX(0,IF($L66=0,$K66,$M66))),2))</f>
        <v>0</v>
      </c>
      <c r="G66" s="16">
        <f>IF($A66="",0,P_Criteres!E27)</f>
        <v>0</v>
      </c>
      <c r="H66" s="16">
        <f>ROUND(F66*G66,2)</f>
        <v>0</v>
      </c>
      <c r="I66" s="8">
        <f>IF($A66="",FALSE,AND(P_Criteres!G27="Oui",ISNUMBER(P_Criteres!H27),F66&lt;=N(P_Criteres!H27)))</f>
        <v>0</v>
      </c>
      <c r="J66" s="8">
        <f>IF($A66="",FALSE,AND(OR(P_Criteres!G27="Oui",P_Criteres!K27="Oui"),$E66=""))</f>
        <v>0</v>
      </c>
      <c r="K66" s="16">
        <f t="array" ref="K66">IF($A66="",0,MIN(IF(P_Baremes!$A$5:$A$400=$A66,P_Baremes!$H$5:$H$400)))</f>
        <v>0</v>
      </c>
      <c r="L66" s="16">
        <f>IF($A66="",0,IF($O66="NUM",IF(ISNUMBER($E66),SUMPRODUCT((P_Baremes!$A$5:$A$400=$A66)*(P_Baremes!$B$5:$B$400="PLAGE")*(((P_Baremes!$D$5:$D$400="")+($E66&gt;=P_Baremes!$D$5:$D$400))&gt;0)*(((P_Baremes!$E$5:$E$400="")+($E66&lt;P_Baremes!$E$5:$E$400))&gt;0)),0),SUMPRODUCT((P_Baremes!$A$5:$A$400=$A66)*(P_Baremes!$B$5:$B$400="MODALITE")*(P_Baremes!$C$5:$C$400=$E66))))</f>
        <v>0</v>
      </c>
      <c r="M66" s="16">
        <f>IF($A66="",0,IF($L66=0,0,IF($O66="NUM",SUMPRODUCT((P_Baremes!$A$5:$A$400=$A66)*(P_Baremes!$B$5:$B$400="PLAGE")*(((P_Baremes!$D$5:$D$400="")+($E66&gt;=P_Baremes!$D$5:$D$400))&gt;0)*(((P_Baremes!$E$5:$E$400="")+($E66&lt;P_Baremes!$E$5:$E$400))&gt;0)*P_Baremes!$H$5:$H$400),SUMPRODUCT((P_Baremes!$A$5:$A$400=$A66)*(P_Baremes!$B$5:$B$400="MODALITE")*(P_Baremes!$C$5:$C$400=$E66)*P_Baremes!$H$5:$H$400))))</f>
        <v>0</v>
      </c>
      <c r="N66" s="8">
        <f>IF($A66="","",P_Criteres!J27)</f>
        <v>0</v>
      </c>
      <c r="O66" s="8">
        <f>IF($A66="","",P_Criteres!D27)</f>
        <v>0</v>
      </c>
      <c r="P66" s="16">
        <f>IF($A66="",0,IFERROR(INDEX(P_DomPoids,MATCH($B66,P_DomCodes,0)),0))</f>
        <v>0</v>
      </c>
      <c r="Q66" s="16">
        <f>P66*G66</f>
        <v>0</v>
      </c>
      <c r="R66" s="8">
        <f>IF(J66,IF(ISNUMBER(SEARCH(","&amp;D66&amp;",",","&amp;R65&amp;",")),R65,R65&amp;IF(R65="","",",")&amp;D66),R65)</f>
        <v>0</v>
      </c>
      <c r="S66" s="8">
        <f>IF(I66,S65&amp;IF(S65="","",", ")&amp;A66,S65)</f>
        <v>0</v>
      </c>
    </row>
    <row r="67" spans="1:19">
      <c r="A67" s="8">
        <f>IF(P_Criteres!A28="","",P_Criteres!A28)</f>
        <v>0</v>
      </c>
      <c r="B67" s="8">
        <f>IF($A67="","",P_Criteres!B28)</f>
        <v>0</v>
      </c>
      <c r="C67" s="8">
        <f>IF($A67="","",P_Criteres!C28)</f>
        <v>0</v>
      </c>
      <c r="D67" s="8">
        <f>IF($A67="","",P_Criteres!F28)</f>
        <v>0</v>
      </c>
      <c r="E67" s="8">
        <f>IF($A67="","",IFERROR(INDEX(In_Retenue,MATCH($D67,In_Cles,0)),""))</f>
        <v>0</v>
      </c>
      <c r="F67" s="16">
        <f>IF($A67="",0,ROUND(MIN(P_Scale,MAX(0,IF($L67=0,$K67,$M67))),2))</f>
        <v>0</v>
      </c>
      <c r="G67" s="16">
        <f>IF($A67="",0,P_Criteres!E28)</f>
        <v>0</v>
      </c>
      <c r="H67" s="16">
        <f>ROUND(F67*G67,2)</f>
        <v>0</v>
      </c>
      <c r="I67" s="8">
        <f>IF($A67="",FALSE,AND(P_Criteres!G28="Oui",ISNUMBER(P_Criteres!H28),F67&lt;=N(P_Criteres!H28)))</f>
        <v>0</v>
      </c>
      <c r="J67" s="8">
        <f>IF($A67="",FALSE,AND(OR(P_Criteres!G28="Oui",P_Criteres!K28="Oui"),$E67=""))</f>
        <v>0</v>
      </c>
      <c r="K67" s="16">
        <f t="array" ref="K67">IF($A67="",0,MIN(IF(P_Baremes!$A$5:$A$400=$A67,P_Baremes!$H$5:$H$400)))</f>
        <v>0</v>
      </c>
      <c r="L67" s="16">
        <f>IF($A67="",0,IF($O67="NUM",IF(ISNUMBER($E67),SUMPRODUCT((P_Baremes!$A$5:$A$400=$A67)*(P_Baremes!$B$5:$B$400="PLAGE")*(((P_Baremes!$D$5:$D$400="")+($E67&gt;=P_Baremes!$D$5:$D$400))&gt;0)*(((P_Baremes!$E$5:$E$400="")+($E67&lt;P_Baremes!$E$5:$E$400))&gt;0)),0),SUMPRODUCT((P_Baremes!$A$5:$A$400=$A67)*(P_Baremes!$B$5:$B$400="MODALITE")*(P_Baremes!$C$5:$C$400=$E67))))</f>
        <v>0</v>
      </c>
      <c r="M67" s="16">
        <f>IF($A67="",0,IF($L67=0,0,IF($O67="NUM",SUMPRODUCT((P_Baremes!$A$5:$A$400=$A67)*(P_Baremes!$B$5:$B$400="PLAGE")*(((P_Baremes!$D$5:$D$400="")+($E67&gt;=P_Baremes!$D$5:$D$400))&gt;0)*(((P_Baremes!$E$5:$E$400="")+($E67&lt;P_Baremes!$E$5:$E$400))&gt;0)*P_Baremes!$H$5:$H$400),SUMPRODUCT((P_Baremes!$A$5:$A$400=$A67)*(P_Baremes!$B$5:$B$400="MODALITE")*(P_Baremes!$C$5:$C$400=$E67)*P_Baremes!$H$5:$H$400))))</f>
        <v>0</v>
      </c>
      <c r="N67" s="8">
        <f>IF($A67="","",P_Criteres!J28)</f>
        <v>0</v>
      </c>
      <c r="O67" s="8">
        <f>IF($A67="","",P_Criteres!D28)</f>
        <v>0</v>
      </c>
      <c r="P67" s="16">
        <f>IF($A67="",0,IFERROR(INDEX(P_DomPoids,MATCH($B67,P_DomCodes,0)),0))</f>
        <v>0</v>
      </c>
      <c r="Q67" s="16">
        <f>P67*G67</f>
        <v>0</v>
      </c>
      <c r="R67" s="8">
        <f>IF(J67,IF(ISNUMBER(SEARCH(","&amp;D67&amp;",",","&amp;R66&amp;",")),R66,R66&amp;IF(R66="","",",")&amp;D67),R66)</f>
        <v>0</v>
      </c>
      <c r="S67" s="8">
        <f>IF(I67,S66&amp;IF(S66="","",", ")&amp;A67,S66)</f>
        <v>0</v>
      </c>
    </row>
    <row r="68" spans="1:19">
      <c r="A68" s="8">
        <f>IF(P_Criteres!A29="","",P_Criteres!A29)</f>
        <v>0</v>
      </c>
      <c r="B68" s="8">
        <f>IF($A68="","",P_Criteres!B29)</f>
        <v>0</v>
      </c>
      <c r="C68" s="8">
        <f>IF($A68="","",P_Criteres!C29)</f>
        <v>0</v>
      </c>
      <c r="D68" s="8">
        <f>IF($A68="","",P_Criteres!F29)</f>
        <v>0</v>
      </c>
      <c r="E68" s="8">
        <f>IF($A68="","",IFERROR(INDEX(In_Retenue,MATCH($D68,In_Cles,0)),""))</f>
        <v>0</v>
      </c>
      <c r="F68" s="16">
        <f>IF($A68="",0,ROUND(MIN(P_Scale,MAX(0,IF($L68=0,$K68,$M68))),2))</f>
        <v>0</v>
      </c>
      <c r="G68" s="16">
        <f>IF($A68="",0,P_Criteres!E29)</f>
        <v>0</v>
      </c>
      <c r="H68" s="16">
        <f>ROUND(F68*G68,2)</f>
        <v>0</v>
      </c>
      <c r="I68" s="8">
        <f>IF($A68="",FALSE,AND(P_Criteres!G29="Oui",ISNUMBER(P_Criteres!H29),F68&lt;=N(P_Criteres!H29)))</f>
        <v>0</v>
      </c>
      <c r="J68" s="8">
        <f>IF($A68="",FALSE,AND(OR(P_Criteres!G29="Oui",P_Criteres!K29="Oui"),$E68=""))</f>
        <v>0</v>
      </c>
      <c r="K68" s="16">
        <f t="array" ref="K68">IF($A68="",0,MIN(IF(P_Baremes!$A$5:$A$400=$A68,P_Baremes!$H$5:$H$400)))</f>
        <v>0</v>
      </c>
      <c r="L68" s="16">
        <f>IF($A68="",0,IF($O68="NUM",IF(ISNUMBER($E68),SUMPRODUCT((P_Baremes!$A$5:$A$400=$A68)*(P_Baremes!$B$5:$B$400="PLAGE")*(((P_Baremes!$D$5:$D$400="")+($E68&gt;=P_Baremes!$D$5:$D$400))&gt;0)*(((P_Baremes!$E$5:$E$400="")+($E68&lt;P_Baremes!$E$5:$E$400))&gt;0)),0),SUMPRODUCT((P_Baremes!$A$5:$A$400=$A68)*(P_Baremes!$B$5:$B$400="MODALITE")*(P_Baremes!$C$5:$C$400=$E68))))</f>
        <v>0</v>
      </c>
      <c r="M68" s="16">
        <f>IF($A68="",0,IF($L68=0,0,IF($O68="NUM",SUMPRODUCT((P_Baremes!$A$5:$A$400=$A68)*(P_Baremes!$B$5:$B$400="PLAGE")*(((P_Baremes!$D$5:$D$400="")+($E68&gt;=P_Baremes!$D$5:$D$400))&gt;0)*(((P_Baremes!$E$5:$E$400="")+($E68&lt;P_Baremes!$E$5:$E$400))&gt;0)*P_Baremes!$H$5:$H$400),SUMPRODUCT((P_Baremes!$A$5:$A$400=$A68)*(P_Baremes!$B$5:$B$400="MODALITE")*(P_Baremes!$C$5:$C$400=$E68)*P_Baremes!$H$5:$H$400))))</f>
        <v>0</v>
      </c>
      <c r="N68" s="8">
        <f>IF($A68="","",P_Criteres!J29)</f>
        <v>0</v>
      </c>
      <c r="O68" s="8">
        <f>IF($A68="","",P_Criteres!D29)</f>
        <v>0</v>
      </c>
      <c r="P68" s="16">
        <f>IF($A68="",0,IFERROR(INDEX(P_DomPoids,MATCH($B68,P_DomCodes,0)),0))</f>
        <v>0</v>
      </c>
      <c r="Q68" s="16">
        <f>P68*G68</f>
        <v>0</v>
      </c>
      <c r="R68" s="8">
        <f>IF(J68,IF(ISNUMBER(SEARCH(","&amp;D68&amp;",",","&amp;R67&amp;",")),R67,R67&amp;IF(R67="","",",")&amp;D68),R67)</f>
        <v>0</v>
      </c>
      <c r="S68" s="8">
        <f>IF(I68,S67&amp;IF(S67="","",", ")&amp;A68,S67)</f>
        <v>0</v>
      </c>
    </row>
    <row r="69" spans="1:19">
      <c r="A69" s="8">
        <f>IF(P_Criteres!A30="","",P_Criteres!A30)</f>
        <v>0</v>
      </c>
      <c r="B69" s="8">
        <f>IF($A69="","",P_Criteres!B30)</f>
        <v>0</v>
      </c>
      <c r="C69" s="8">
        <f>IF($A69="","",P_Criteres!C30)</f>
        <v>0</v>
      </c>
      <c r="D69" s="8">
        <f>IF($A69="","",P_Criteres!F30)</f>
        <v>0</v>
      </c>
      <c r="E69" s="8">
        <f>IF($A69="","",IFERROR(INDEX(In_Retenue,MATCH($D69,In_Cles,0)),""))</f>
        <v>0</v>
      </c>
      <c r="F69" s="16">
        <f>IF($A69="",0,ROUND(MIN(P_Scale,MAX(0,IF($L69=0,$K69,$M69))),2))</f>
        <v>0</v>
      </c>
      <c r="G69" s="16">
        <f>IF($A69="",0,P_Criteres!E30)</f>
        <v>0</v>
      </c>
      <c r="H69" s="16">
        <f>ROUND(F69*G69,2)</f>
        <v>0</v>
      </c>
      <c r="I69" s="8">
        <f>IF($A69="",FALSE,AND(P_Criteres!G30="Oui",ISNUMBER(P_Criteres!H30),F69&lt;=N(P_Criteres!H30)))</f>
        <v>0</v>
      </c>
      <c r="J69" s="8">
        <f>IF($A69="",FALSE,AND(OR(P_Criteres!G30="Oui",P_Criteres!K30="Oui"),$E69=""))</f>
        <v>0</v>
      </c>
      <c r="K69" s="16">
        <f t="array" ref="K69">IF($A69="",0,MIN(IF(P_Baremes!$A$5:$A$400=$A69,P_Baremes!$H$5:$H$400)))</f>
        <v>0</v>
      </c>
      <c r="L69" s="16">
        <f>IF($A69="",0,IF($O69="NUM",IF(ISNUMBER($E69),SUMPRODUCT((P_Baremes!$A$5:$A$400=$A69)*(P_Baremes!$B$5:$B$400="PLAGE")*(((P_Baremes!$D$5:$D$400="")+($E69&gt;=P_Baremes!$D$5:$D$400))&gt;0)*(((P_Baremes!$E$5:$E$400="")+($E69&lt;P_Baremes!$E$5:$E$400))&gt;0)),0),SUMPRODUCT((P_Baremes!$A$5:$A$400=$A69)*(P_Baremes!$B$5:$B$400="MODALITE")*(P_Baremes!$C$5:$C$400=$E69))))</f>
        <v>0</v>
      </c>
      <c r="M69" s="16">
        <f>IF($A69="",0,IF($L69=0,0,IF($O69="NUM",SUMPRODUCT((P_Baremes!$A$5:$A$400=$A69)*(P_Baremes!$B$5:$B$400="PLAGE")*(((P_Baremes!$D$5:$D$400="")+($E69&gt;=P_Baremes!$D$5:$D$400))&gt;0)*(((P_Baremes!$E$5:$E$400="")+($E69&lt;P_Baremes!$E$5:$E$400))&gt;0)*P_Baremes!$H$5:$H$400),SUMPRODUCT((P_Baremes!$A$5:$A$400=$A69)*(P_Baremes!$B$5:$B$400="MODALITE")*(P_Baremes!$C$5:$C$400=$E69)*P_Baremes!$H$5:$H$400))))</f>
        <v>0</v>
      </c>
      <c r="N69" s="8">
        <f>IF($A69="","",P_Criteres!J30)</f>
        <v>0</v>
      </c>
      <c r="O69" s="8">
        <f>IF($A69="","",P_Criteres!D30)</f>
        <v>0</v>
      </c>
      <c r="P69" s="16">
        <f>IF($A69="",0,IFERROR(INDEX(P_DomPoids,MATCH($B69,P_DomCodes,0)),0))</f>
        <v>0</v>
      </c>
      <c r="Q69" s="16">
        <f>P69*G69</f>
        <v>0</v>
      </c>
      <c r="R69" s="8">
        <f>IF(J69,IF(ISNUMBER(SEARCH(","&amp;D69&amp;",",","&amp;R68&amp;",")),R68,R68&amp;IF(R68="","",",")&amp;D69),R68)</f>
        <v>0</v>
      </c>
      <c r="S69" s="8">
        <f>IF(I69,S68&amp;IF(S68="","",", ")&amp;A69,S68)</f>
        <v>0</v>
      </c>
    </row>
    <row r="70" spans="1:19">
      <c r="A70" s="8">
        <f>IF(P_Criteres!A31="","",P_Criteres!A31)</f>
        <v>0</v>
      </c>
      <c r="B70" s="8">
        <f>IF($A70="","",P_Criteres!B31)</f>
        <v>0</v>
      </c>
      <c r="C70" s="8">
        <f>IF($A70="","",P_Criteres!C31)</f>
        <v>0</v>
      </c>
      <c r="D70" s="8">
        <f>IF($A70="","",P_Criteres!F31)</f>
        <v>0</v>
      </c>
      <c r="E70" s="8">
        <f>IF($A70="","",IFERROR(INDEX(In_Retenue,MATCH($D70,In_Cles,0)),""))</f>
        <v>0</v>
      </c>
      <c r="F70" s="16">
        <f>IF($A70="",0,ROUND(MIN(P_Scale,MAX(0,IF($L70=0,$K70,$M70))),2))</f>
        <v>0</v>
      </c>
      <c r="G70" s="16">
        <f>IF($A70="",0,P_Criteres!E31)</f>
        <v>0</v>
      </c>
      <c r="H70" s="16">
        <f>ROUND(F70*G70,2)</f>
        <v>0</v>
      </c>
      <c r="I70" s="8">
        <f>IF($A70="",FALSE,AND(P_Criteres!G31="Oui",ISNUMBER(P_Criteres!H31),F70&lt;=N(P_Criteres!H31)))</f>
        <v>0</v>
      </c>
      <c r="J70" s="8">
        <f>IF($A70="",FALSE,AND(OR(P_Criteres!G31="Oui",P_Criteres!K31="Oui"),$E70=""))</f>
        <v>0</v>
      </c>
      <c r="K70" s="16">
        <f t="array" ref="K70">IF($A70="",0,MIN(IF(P_Baremes!$A$5:$A$400=$A70,P_Baremes!$H$5:$H$400)))</f>
        <v>0</v>
      </c>
      <c r="L70" s="16">
        <f>IF($A70="",0,IF($O70="NUM",IF(ISNUMBER($E70),SUMPRODUCT((P_Baremes!$A$5:$A$400=$A70)*(P_Baremes!$B$5:$B$400="PLAGE")*(((P_Baremes!$D$5:$D$400="")+($E70&gt;=P_Baremes!$D$5:$D$400))&gt;0)*(((P_Baremes!$E$5:$E$400="")+($E70&lt;P_Baremes!$E$5:$E$400))&gt;0)),0),SUMPRODUCT((P_Baremes!$A$5:$A$400=$A70)*(P_Baremes!$B$5:$B$400="MODALITE")*(P_Baremes!$C$5:$C$400=$E70))))</f>
        <v>0</v>
      </c>
      <c r="M70" s="16">
        <f>IF($A70="",0,IF($L70=0,0,IF($O70="NUM",SUMPRODUCT((P_Baremes!$A$5:$A$400=$A70)*(P_Baremes!$B$5:$B$400="PLAGE")*(((P_Baremes!$D$5:$D$400="")+($E70&gt;=P_Baremes!$D$5:$D$400))&gt;0)*(((P_Baremes!$E$5:$E$400="")+($E70&lt;P_Baremes!$E$5:$E$400))&gt;0)*P_Baremes!$H$5:$H$400),SUMPRODUCT((P_Baremes!$A$5:$A$400=$A70)*(P_Baremes!$B$5:$B$400="MODALITE")*(P_Baremes!$C$5:$C$400=$E70)*P_Baremes!$H$5:$H$400))))</f>
        <v>0</v>
      </c>
      <c r="N70" s="8">
        <f>IF($A70="","",P_Criteres!J31)</f>
        <v>0</v>
      </c>
      <c r="O70" s="8">
        <f>IF($A70="","",P_Criteres!D31)</f>
        <v>0</v>
      </c>
      <c r="P70" s="16">
        <f>IF($A70="",0,IFERROR(INDEX(P_DomPoids,MATCH($B70,P_DomCodes,0)),0))</f>
        <v>0</v>
      </c>
      <c r="Q70" s="16">
        <f>P70*G70</f>
        <v>0</v>
      </c>
      <c r="R70" s="8">
        <f>IF(J70,IF(ISNUMBER(SEARCH(","&amp;D70&amp;",",","&amp;R69&amp;",")),R69,R69&amp;IF(R69="","",",")&amp;D70),R69)</f>
        <v>0</v>
      </c>
      <c r="S70" s="8">
        <f>IF(I70,S69&amp;IF(S69="","",", ")&amp;A70,S69)</f>
        <v>0</v>
      </c>
    </row>
    <row r="71" spans="1:19">
      <c r="A71" s="8">
        <f>IF(P_Criteres!A32="","",P_Criteres!A32)</f>
        <v>0</v>
      </c>
      <c r="B71" s="8">
        <f>IF($A71="","",P_Criteres!B32)</f>
        <v>0</v>
      </c>
      <c r="C71" s="8">
        <f>IF($A71="","",P_Criteres!C32)</f>
        <v>0</v>
      </c>
      <c r="D71" s="8">
        <f>IF($A71="","",P_Criteres!F32)</f>
        <v>0</v>
      </c>
      <c r="E71" s="8">
        <f>IF($A71="","",IFERROR(INDEX(In_Retenue,MATCH($D71,In_Cles,0)),""))</f>
        <v>0</v>
      </c>
      <c r="F71" s="16">
        <f>IF($A71="",0,ROUND(MIN(P_Scale,MAX(0,IF($L71=0,$K71,$M71))),2))</f>
        <v>0</v>
      </c>
      <c r="G71" s="16">
        <f>IF($A71="",0,P_Criteres!E32)</f>
        <v>0</v>
      </c>
      <c r="H71" s="16">
        <f>ROUND(F71*G71,2)</f>
        <v>0</v>
      </c>
      <c r="I71" s="8">
        <f>IF($A71="",FALSE,AND(P_Criteres!G32="Oui",ISNUMBER(P_Criteres!H32),F71&lt;=N(P_Criteres!H32)))</f>
        <v>0</v>
      </c>
      <c r="J71" s="8">
        <f>IF($A71="",FALSE,AND(OR(P_Criteres!G32="Oui",P_Criteres!K32="Oui"),$E71=""))</f>
        <v>0</v>
      </c>
      <c r="K71" s="16">
        <f t="array" ref="K71">IF($A71="",0,MIN(IF(P_Baremes!$A$5:$A$400=$A71,P_Baremes!$H$5:$H$400)))</f>
        <v>0</v>
      </c>
      <c r="L71" s="16">
        <f>IF($A71="",0,IF($O71="NUM",IF(ISNUMBER($E71),SUMPRODUCT((P_Baremes!$A$5:$A$400=$A71)*(P_Baremes!$B$5:$B$400="PLAGE")*(((P_Baremes!$D$5:$D$400="")+($E71&gt;=P_Baremes!$D$5:$D$400))&gt;0)*(((P_Baremes!$E$5:$E$400="")+($E71&lt;P_Baremes!$E$5:$E$400))&gt;0)),0),SUMPRODUCT((P_Baremes!$A$5:$A$400=$A71)*(P_Baremes!$B$5:$B$400="MODALITE")*(P_Baremes!$C$5:$C$400=$E71))))</f>
        <v>0</v>
      </c>
      <c r="M71" s="16">
        <f>IF($A71="",0,IF($L71=0,0,IF($O71="NUM",SUMPRODUCT((P_Baremes!$A$5:$A$400=$A71)*(P_Baremes!$B$5:$B$400="PLAGE")*(((P_Baremes!$D$5:$D$400="")+($E71&gt;=P_Baremes!$D$5:$D$400))&gt;0)*(((P_Baremes!$E$5:$E$400="")+($E71&lt;P_Baremes!$E$5:$E$400))&gt;0)*P_Baremes!$H$5:$H$400),SUMPRODUCT((P_Baremes!$A$5:$A$400=$A71)*(P_Baremes!$B$5:$B$400="MODALITE")*(P_Baremes!$C$5:$C$400=$E71)*P_Baremes!$H$5:$H$400))))</f>
        <v>0</v>
      </c>
      <c r="N71" s="8">
        <f>IF($A71="","",P_Criteres!J32)</f>
        <v>0</v>
      </c>
      <c r="O71" s="8">
        <f>IF($A71="","",P_Criteres!D32)</f>
        <v>0</v>
      </c>
      <c r="P71" s="16">
        <f>IF($A71="",0,IFERROR(INDEX(P_DomPoids,MATCH($B71,P_DomCodes,0)),0))</f>
        <v>0</v>
      </c>
      <c r="Q71" s="16">
        <f>P71*G71</f>
        <v>0</v>
      </c>
      <c r="R71" s="8">
        <f>IF(J71,IF(ISNUMBER(SEARCH(","&amp;D71&amp;",",","&amp;R70&amp;",")),R70,R70&amp;IF(R70="","",",")&amp;D71),R70)</f>
        <v>0</v>
      </c>
      <c r="S71" s="8">
        <f>IF(I71,S70&amp;IF(S70="","",", ")&amp;A71,S70)</f>
        <v>0</v>
      </c>
    </row>
    <row r="72" spans="1:19">
      <c r="A72" s="8">
        <f>IF(P_Criteres!A33="","",P_Criteres!A33)</f>
        <v>0</v>
      </c>
      <c r="B72" s="8">
        <f>IF($A72="","",P_Criteres!B33)</f>
        <v>0</v>
      </c>
      <c r="C72" s="8">
        <f>IF($A72="","",P_Criteres!C33)</f>
        <v>0</v>
      </c>
      <c r="D72" s="8">
        <f>IF($A72="","",P_Criteres!F33)</f>
        <v>0</v>
      </c>
      <c r="E72" s="8">
        <f>IF($A72="","",IFERROR(INDEX(In_Retenue,MATCH($D72,In_Cles,0)),""))</f>
        <v>0</v>
      </c>
      <c r="F72" s="16">
        <f>IF($A72="",0,ROUND(MIN(P_Scale,MAX(0,IF($L72=0,$K72,$M72))),2))</f>
        <v>0</v>
      </c>
      <c r="G72" s="16">
        <f>IF($A72="",0,P_Criteres!E33)</f>
        <v>0</v>
      </c>
      <c r="H72" s="16">
        <f>ROUND(F72*G72,2)</f>
        <v>0</v>
      </c>
      <c r="I72" s="8">
        <f>IF($A72="",FALSE,AND(P_Criteres!G33="Oui",ISNUMBER(P_Criteres!H33),F72&lt;=N(P_Criteres!H33)))</f>
        <v>0</v>
      </c>
      <c r="J72" s="8">
        <f>IF($A72="",FALSE,AND(OR(P_Criteres!G33="Oui",P_Criteres!K33="Oui"),$E72=""))</f>
        <v>0</v>
      </c>
      <c r="K72" s="16">
        <f t="array" ref="K72">IF($A72="",0,MIN(IF(P_Baremes!$A$5:$A$400=$A72,P_Baremes!$H$5:$H$400)))</f>
        <v>0</v>
      </c>
      <c r="L72" s="16">
        <f>IF($A72="",0,IF($O72="NUM",IF(ISNUMBER($E72),SUMPRODUCT((P_Baremes!$A$5:$A$400=$A72)*(P_Baremes!$B$5:$B$400="PLAGE")*(((P_Baremes!$D$5:$D$400="")+($E72&gt;=P_Baremes!$D$5:$D$400))&gt;0)*(((P_Baremes!$E$5:$E$400="")+($E72&lt;P_Baremes!$E$5:$E$400))&gt;0)),0),SUMPRODUCT((P_Baremes!$A$5:$A$400=$A72)*(P_Baremes!$B$5:$B$400="MODALITE")*(P_Baremes!$C$5:$C$400=$E72))))</f>
        <v>0</v>
      </c>
      <c r="M72" s="16">
        <f>IF($A72="",0,IF($L72=0,0,IF($O72="NUM",SUMPRODUCT((P_Baremes!$A$5:$A$400=$A72)*(P_Baremes!$B$5:$B$400="PLAGE")*(((P_Baremes!$D$5:$D$400="")+($E72&gt;=P_Baremes!$D$5:$D$400))&gt;0)*(((P_Baremes!$E$5:$E$400="")+($E72&lt;P_Baremes!$E$5:$E$400))&gt;0)*P_Baremes!$H$5:$H$400),SUMPRODUCT((P_Baremes!$A$5:$A$400=$A72)*(P_Baremes!$B$5:$B$400="MODALITE")*(P_Baremes!$C$5:$C$400=$E72)*P_Baremes!$H$5:$H$400))))</f>
        <v>0</v>
      </c>
      <c r="N72" s="8">
        <f>IF($A72="","",P_Criteres!J33)</f>
        <v>0</v>
      </c>
      <c r="O72" s="8">
        <f>IF($A72="","",P_Criteres!D33)</f>
        <v>0</v>
      </c>
      <c r="P72" s="16">
        <f>IF($A72="",0,IFERROR(INDEX(P_DomPoids,MATCH($B72,P_DomCodes,0)),0))</f>
        <v>0</v>
      </c>
      <c r="Q72" s="16">
        <f>P72*G72</f>
        <v>0</v>
      </c>
      <c r="R72" s="8">
        <f>IF(J72,IF(ISNUMBER(SEARCH(","&amp;D72&amp;",",","&amp;R71&amp;",")),R71,R71&amp;IF(R71="","",",")&amp;D72),R71)</f>
        <v>0</v>
      </c>
      <c r="S72" s="8">
        <f>IF(I72,S71&amp;IF(S71="","",", ")&amp;A72,S71)</f>
        <v>0</v>
      </c>
    </row>
    <row r="73" spans="1:19">
      <c r="A73" s="8">
        <f>IF(P_Criteres!A34="","",P_Criteres!A34)</f>
        <v>0</v>
      </c>
      <c r="B73" s="8">
        <f>IF($A73="","",P_Criteres!B34)</f>
        <v>0</v>
      </c>
      <c r="C73" s="8">
        <f>IF($A73="","",P_Criteres!C34)</f>
        <v>0</v>
      </c>
      <c r="D73" s="8">
        <f>IF($A73="","",P_Criteres!F34)</f>
        <v>0</v>
      </c>
      <c r="E73" s="8">
        <f>IF($A73="","",IFERROR(INDEX(In_Retenue,MATCH($D73,In_Cles,0)),""))</f>
        <v>0</v>
      </c>
      <c r="F73" s="16">
        <f>IF($A73="",0,ROUND(MIN(P_Scale,MAX(0,IF($L73=0,$K73,$M73))),2))</f>
        <v>0</v>
      </c>
      <c r="G73" s="16">
        <f>IF($A73="",0,P_Criteres!E34)</f>
        <v>0</v>
      </c>
      <c r="H73" s="16">
        <f>ROUND(F73*G73,2)</f>
        <v>0</v>
      </c>
      <c r="I73" s="8">
        <f>IF($A73="",FALSE,AND(P_Criteres!G34="Oui",ISNUMBER(P_Criteres!H34),F73&lt;=N(P_Criteres!H34)))</f>
        <v>0</v>
      </c>
      <c r="J73" s="8">
        <f>IF($A73="",FALSE,AND(OR(P_Criteres!G34="Oui",P_Criteres!K34="Oui"),$E73=""))</f>
        <v>0</v>
      </c>
      <c r="K73" s="16">
        <f t="array" ref="K73">IF($A73="",0,MIN(IF(P_Baremes!$A$5:$A$400=$A73,P_Baremes!$H$5:$H$400)))</f>
        <v>0</v>
      </c>
      <c r="L73" s="16">
        <f>IF($A73="",0,IF($O73="NUM",IF(ISNUMBER($E73),SUMPRODUCT((P_Baremes!$A$5:$A$400=$A73)*(P_Baremes!$B$5:$B$400="PLAGE")*(((P_Baremes!$D$5:$D$400="")+($E73&gt;=P_Baremes!$D$5:$D$400))&gt;0)*(((P_Baremes!$E$5:$E$400="")+($E73&lt;P_Baremes!$E$5:$E$400))&gt;0)),0),SUMPRODUCT((P_Baremes!$A$5:$A$400=$A73)*(P_Baremes!$B$5:$B$400="MODALITE")*(P_Baremes!$C$5:$C$400=$E73))))</f>
        <v>0</v>
      </c>
      <c r="M73" s="16">
        <f>IF($A73="",0,IF($L73=0,0,IF($O73="NUM",SUMPRODUCT((P_Baremes!$A$5:$A$400=$A73)*(P_Baremes!$B$5:$B$400="PLAGE")*(((P_Baremes!$D$5:$D$400="")+($E73&gt;=P_Baremes!$D$5:$D$400))&gt;0)*(((P_Baremes!$E$5:$E$400="")+($E73&lt;P_Baremes!$E$5:$E$400))&gt;0)*P_Baremes!$H$5:$H$400),SUMPRODUCT((P_Baremes!$A$5:$A$400=$A73)*(P_Baremes!$B$5:$B$400="MODALITE")*(P_Baremes!$C$5:$C$400=$E73)*P_Baremes!$H$5:$H$400))))</f>
        <v>0</v>
      </c>
      <c r="N73" s="8">
        <f>IF($A73="","",P_Criteres!J34)</f>
        <v>0</v>
      </c>
      <c r="O73" s="8">
        <f>IF($A73="","",P_Criteres!D34)</f>
        <v>0</v>
      </c>
      <c r="P73" s="16">
        <f>IF($A73="",0,IFERROR(INDEX(P_DomPoids,MATCH($B73,P_DomCodes,0)),0))</f>
        <v>0</v>
      </c>
      <c r="Q73" s="16">
        <f>P73*G73</f>
        <v>0</v>
      </c>
      <c r="R73" s="8">
        <f>IF(J73,IF(ISNUMBER(SEARCH(","&amp;D73&amp;",",","&amp;R72&amp;",")),R72,R72&amp;IF(R72="","",",")&amp;D73),R72)</f>
        <v>0</v>
      </c>
      <c r="S73" s="8">
        <f>IF(I73,S72&amp;IF(S72="","",", ")&amp;A73,S72)</f>
        <v>0</v>
      </c>
    </row>
    <row r="74" spans="1:19">
      <c r="A74" s="8">
        <f>IF(P_Criteres!A35="","",P_Criteres!A35)</f>
        <v>0</v>
      </c>
      <c r="B74" s="8">
        <f>IF($A74="","",P_Criteres!B35)</f>
        <v>0</v>
      </c>
      <c r="C74" s="8">
        <f>IF($A74="","",P_Criteres!C35)</f>
        <v>0</v>
      </c>
      <c r="D74" s="8">
        <f>IF($A74="","",P_Criteres!F35)</f>
        <v>0</v>
      </c>
      <c r="E74" s="8">
        <f>IF($A74="","",IFERROR(INDEX(In_Retenue,MATCH($D74,In_Cles,0)),""))</f>
        <v>0</v>
      </c>
      <c r="F74" s="16">
        <f>IF($A74="",0,ROUND(MIN(P_Scale,MAX(0,IF($L74=0,$K74,$M74))),2))</f>
        <v>0</v>
      </c>
      <c r="G74" s="16">
        <f>IF($A74="",0,P_Criteres!E35)</f>
        <v>0</v>
      </c>
      <c r="H74" s="16">
        <f>ROUND(F74*G74,2)</f>
        <v>0</v>
      </c>
      <c r="I74" s="8">
        <f>IF($A74="",FALSE,AND(P_Criteres!G35="Oui",ISNUMBER(P_Criteres!H35),F74&lt;=N(P_Criteres!H35)))</f>
        <v>0</v>
      </c>
      <c r="J74" s="8">
        <f>IF($A74="",FALSE,AND(OR(P_Criteres!G35="Oui",P_Criteres!K35="Oui"),$E74=""))</f>
        <v>0</v>
      </c>
      <c r="K74" s="16">
        <f t="array" ref="K74">IF($A74="",0,MIN(IF(P_Baremes!$A$5:$A$400=$A74,P_Baremes!$H$5:$H$400)))</f>
        <v>0</v>
      </c>
      <c r="L74" s="16">
        <f>IF($A74="",0,IF($O74="NUM",IF(ISNUMBER($E74),SUMPRODUCT((P_Baremes!$A$5:$A$400=$A74)*(P_Baremes!$B$5:$B$400="PLAGE")*(((P_Baremes!$D$5:$D$400="")+($E74&gt;=P_Baremes!$D$5:$D$400))&gt;0)*(((P_Baremes!$E$5:$E$400="")+($E74&lt;P_Baremes!$E$5:$E$400))&gt;0)),0),SUMPRODUCT((P_Baremes!$A$5:$A$400=$A74)*(P_Baremes!$B$5:$B$400="MODALITE")*(P_Baremes!$C$5:$C$400=$E74))))</f>
        <v>0</v>
      </c>
      <c r="M74" s="16">
        <f>IF($A74="",0,IF($L74=0,0,IF($O74="NUM",SUMPRODUCT((P_Baremes!$A$5:$A$400=$A74)*(P_Baremes!$B$5:$B$400="PLAGE")*(((P_Baremes!$D$5:$D$400="")+($E74&gt;=P_Baremes!$D$5:$D$400))&gt;0)*(((P_Baremes!$E$5:$E$400="")+($E74&lt;P_Baremes!$E$5:$E$400))&gt;0)*P_Baremes!$H$5:$H$400),SUMPRODUCT((P_Baremes!$A$5:$A$400=$A74)*(P_Baremes!$B$5:$B$400="MODALITE")*(P_Baremes!$C$5:$C$400=$E74)*P_Baremes!$H$5:$H$400))))</f>
        <v>0</v>
      </c>
      <c r="N74" s="8">
        <f>IF($A74="","",P_Criteres!J35)</f>
        <v>0</v>
      </c>
      <c r="O74" s="8">
        <f>IF($A74="","",P_Criteres!D35)</f>
        <v>0</v>
      </c>
      <c r="P74" s="16">
        <f>IF($A74="",0,IFERROR(INDEX(P_DomPoids,MATCH($B74,P_DomCodes,0)),0))</f>
        <v>0</v>
      </c>
      <c r="Q74" s="16">
        <f>P74*G74</f>
        <v>0</v>
      </c>
      <c r="R74" s="8">
        <f>IF(J74,IF(ISNUMBER(SEARCH(","&amp;D74&amp;",",","&amp;R73&amp;",")),R73,R73&amp;IF(R73="","",",")&amp;D74),R73)</f>
        <v>0</v>
      </c>
      <c r="S74" s="8">
        <f>IF(I74,S73&amp;IF(S73="","",", ")&amp;A74,S73)</f>
        <v>0</v>
      </c>
    </row>
    <row r="75" spans="1:19">
      <c r="A75" s="8">
        <f>IF(P_Criteres!A36="","",P_Criteres!A36)</f>
        <v>0</v>
      </c>
      <c r="B75" s="8">
        <f>IF($A75="","",P_Criteres!B36)</f>
        <v>0</v>
      </c>
      <c r="C75" s="8">
        <f>IF($A75="","",P_Criteres!C36)</f>
        <v>0</v>
      </c>
      <c r="D75" s="8">
        <f>IF($A75="","",P_Criteres!F36)</f>
        <v>0</v>
      </c>
      <c r="E75" s="8">
        <f>IF($A75="","",IFERROR(INDEX(In_Retenue,MATCH($D75,In_Cles,0)),""))</f>
        <v>0</v>
      </c>
      <c r="F75" s="16">
        <f>IF($A75="",0,ROUND(MIN(P_Scale,MAX(0,IF($L75=0,$K75,$M75))),2))</f>
        <v>0</v>
      </c>
      <c r="G75" s="16">
        <f>IF($A75="",0,P_Criteres!E36)</f>
        <v>0</v>
      </c>
      <c r="H75" s="16">
        <f>ROUND(F75*G75,2)</f>
        <v>0</v>
      </c>
      <c r="I75" s="8">
        <f>IF($A75="",FALSE,AND(P_Criteres!G36="Oui",ISNUMBER(P_Criteres!H36),F75&lt;=N(P_Criteres!H36)))</f>
        <v>0</v>
      </c>
      <c r="J75" s="8">
        <f>IF($A75="",FALSE,AND(OR(P_Criteres!G36="Oui",P_Criteres!K36="Oui"),$E75=""))</f>
        <v>0</v>
      </c>
      <c r="K75" s="16">
        <f t="array" ref="K75">IF($A75="",0,MIN(IF(P_Baremes!$A$5:$A$400=$A75,P_Baremes!$H$5:$H$400)))</f>
        <v>0</v>
      </c>
      <c r="L75" s="16">
        <f>IF($A75="",0,IF($O75="NUM",IF(ISNUMBER($E75),SUMPRODUCT((P_Baremes!$A$5:$A$400=$A75)*(P_Baremes!$B$5:$B$400="PLAGE")*(((P_Baremes!$D$5:$D$400="")+($E75&gt;=P_Baremes!$D$5:$D$400))&gt;0)*(((P_Baremes!$E$5:$E$400="")+($E75&lt;P_Baremes!$E$5:$E$400))&gt;0)),0),SUMPRODUCT((P_Baremes!$A$5:$A$400=$A75)*(P_Baremes!$B$5:$B$400="MODALITE")*(P_Baremes!$C$5:$C$400=$E75))))</f>
        <v>0</v>
      </c>
      <c r="M75" s="16">
        <f>IF($A75="",0,IF($L75=0,0,IF($O75="NUM",SUMPRODUCT((P_Baremes!$A$5:$A$400=$A75)*(P_Baremes!$B$5:$B$400="PLAGE")*(((P_Baremes!$D$5:$D$400="")+($E75&gt;=P_Baremes!$D$5:$D$400))&gt;0)*(((P_Baremes!$E$5:$E$400="")+($E75&lt;P_Baremes!$E$5:$E$400))&gt;0)*P_Baremes!$H$5:$H$400),SUMPRODUCT((P_Baremes!$A$5:$A$400=$A75)*(P_Baremes!$B$5:$B$400="MODALITE")*(P_Baremes!$C$5:$C$400=$E75)*P_Baremes!$H$5:$H$400))))</f>
        <v>0</v>
      </c>
      <c r="N75" s="8">
        <f>IF($A75="","",P_Criteres!J36)</f>
        <v>0</v>
      </c>
      <c r="O75" s="8">
        <f>IF($A75="","",P_Criteres!D36)</f>
        <v>0</v>
      </c>
      <c r="P75" s="16">
        <f>IF($A75="",0,IFERROR(INDEX(P_DomPoids,MATCH($B75,P_DomCodes,0)),0))</f>
        <v>0</v>
      </c>
      <c r="Q75" s="16">
        <f>P75*G75</f>
        <v>0</v>
      </c>
      <c r="R75" s="8">
        <f>IF(J75,IF(ISNUMBER(SEARCH(","&amp;D75&amp;",",","&amp;R74&amp;",")),R74,R74&amp;IF(R74="","",",")&amp;D75),R74)</f>
        <v>0</v>
      </c>
      <c r="S75" s="8">
        <f>IF(I75,S74&amp;IF(S74="","",", ")&amp;A75,S74)</f>
        <v>0</v>
      </c>
    </row>
    <row r="76" spans="1:19">
      <c r="A76" s="8">
        <f>IF(P_Criteres!A37="","",P_Criteres!A37)</f>
        <v>0</v>
      </c>
      <c r="B76" s="8">
        <f>IF($A76="","",P_Criteres!B37)</f>
        <v>0</v>
      </c>
      <c r="C76" s="8">
        <f>IF($A76="","",P_Criteres!C37)</f>
        <v>0</v>
      </c>
      <c r="D76" s="8">
        <f>IF($A76="","",P_Criteres!F37)</f>
        <v>0</v>
      </c>
      <c r="E76" s="8">
        <f>IF($A76="","",IFERROR(INDEX(In_Retenue,MATCH($D76,In_Cles,0)),""))</f>
        <v>0</v>
      </c>
      <c r="F76" s="16">
        <f>IF($A76="",0,ROUND(MIN(P_Scale,MAX(0,IF($L76=0,$K76,$M76))),2))</f>
        <v>0</v>
      </c>
      <c r="G76" s="16">
        <f>IF($A76="",0,P_Criteres!E37)</f>
        <v>0</v>
      </c>
      <c r="H76" s="16">
        <f>ROUND(F76*G76,2)</f>
        <v>0</v>
      </c>
      <c r="I76" s="8">
        <f>IF($A76="",FALSE,AND(P_Criteres!G37="Oui",ISNUMBER(P_Criteres!H37),F76&lt;=N(P_Criteres!H37)))</f>
        <v>0</v>
      </c>
      <c r="J76" s="8">
        <f>IF($A76="",FALSE,AND(OR(P_Criteres!G37="Oui",P_Criteres!K37="Oui"),$E76=""))</f>
        <v>0</v>
      </c>
      <c r="K76" s="16">
        <f t="array" ref="K76">IF($A76="",0,MIN(IF(P_Baremes!$A$5:$A$400=$A76,P_Baremes!$H$5:$H$400)))</f>
        <v>0</v>
      </c>
      <c r="L76" s="16">
        <f>IF($A76="",0,IF($O76="NUM",IF(ISNUMBER($E76),SUMPRODUCT((P_Baremes!$A$5:$A$400=$A76)*(P_Baremes!$B$5:$B$400="PLAGE")*(((P_Baremes!$D$5:$D$400="")+($E76&gt;=P_Baremes!$D$5:$D$400))&gt;0)*(((P_Baremes!$E$5:$E$400="")+($E76&lt;P_Baremes!$E$5:$E$400))&gt;0)),0),SUMPRODUCT((P_Baremes!$A$5:$A$400=$A76)*(P_Baremes!$B$5:$B$400="MODALITE")*(P_Baremes!$C$5:$C$400=$E76))))</f>
        <v>0</v>
      </c>
      <c r="M76" s="16">
        <f>IF($A76="",0,IF($L76=0,0,IF($O76="NUM",SUMPRODUCT((P_Baremes!$A$5:$A$400=$A76)*(P_Baremes!$B$5:$B$400="PLAGE")*(((P_Baremes!$D$5:$D$400="")+($E76&gt;=P_Baremes!$D$5:$D$400))&gt;0)*(((P_Baremes!$E$5:$E$400="")+($E76&lt;P_Baremes!$E$5:$E$400))&gt;0)*P_Baremes!$H$5:$H$400),SUMPRODUCT((P_Baremes!$A$5:$A$400=$A76)*(P_Baremes!$B$5:$B$400="MODALITE")*(P_Baremes!$C$5:$C$400=$E76)*P_Baremes!$H$5:$H$400))))</f>
        <v>0</v>
      </c>
      <c r="N76" s="8">
        <f>IF($A76="","",P_Criteres!J37)</f>
        <v>0</v>
      </c>
      <c r="O76" s="8">
        <f>IF($A76="","",P_Criteres!D37)</f>
        <v>0</v>
      </c>
      <c r="P76" s="16">
        <f>IF($A76="",0,IFERROR(INDEX(P_DomPoids,MATCH($B76,P_DomCodes,0)),0))</f>
        <v>0</v>
      </c>
      <c r="Q76" s="16">
        <f>P76*G76</f>
        <v>0</v>
      </c>
      <c r="R76" s="8">
        <f>IF(J76,IF(ISNUMBER(SEARCH(","&amp;D76&amp;",",","&amp;R75&amp;",")),R75,R75&amp;IF(R75="","",",")&amp;D76),R75)</f>
        <v>0</v>
      </c>
      <c r="S76" s="8">
        <f>IF(I76,S75&amp;IF(S75="","",", ")&amp;A76,S75)</f>
        <v>0</v>
      </c>
    </row>
    <row r="77" spans="1:19">
      <c r="A77" s="8">
        <f>IF(P_Criteres!A38="","",P_Criteres!A38)</f>
        <v>0</v>
      </c>
      <c r="B77" s="8">
        <f>IF($A77="","",P_Criteres!B38)</f>
        <v>0</v>
      </c>
      <c r="C77" s="8">
        <f>IF($A77="","",P_Criteres!C38)</f>
        <v>0</v>
      </c>
      <c r="D77" s="8">
        <f>IF($A77="","",P_Criteres!F38)</f>
        <v>0</v>
      </c>
      <c r="E77" s="8">
        <f>IF($A77="","",IFERROR(INDEX(In_Retenue,MATCH($D77,In_Cles,0)),""))</f>
        <v>0</v>
      </c>
      <c r="F77" s="16">
        <f>IF($A77="",0,ROUND(MIN(P_Scale,MAX(0,IF($L77=0,$K77,$M77))),2))</f>
        <v>0</v>
      </c>
      <c r="G77" s="16">
        <f>IF($A77="",0,P_Criteres!E38)</f>
        <v>0</v>
      </c>
      <c r="H77" s="16">
        <f>ROUND(F77*G77,2)</f>
        <v>0</v>
      </c>
      <c r="I77" s="8">
        <f>IF($A77="",FALSE,AND(P_Criteres!G38="Oui",ISNUMBER(P_Criteres!H38),F77&lt;=N(P_Criteres!H38)))</f>
        <v>0</v>
      </c>
      <c r="J77" s="8">
        <f>IF($A77="",FALSE,AND(OR(P_Criteres!G38="Oui",P_Criteres!K38="Oui"),$E77=""))</f>
        <v>0</v>
      </c>
      <c r="K77" s="16">
        <f t="array" ref="K77">IF($A77="",0,MIN(IF(P_Baremes!$A$5:$A$400=$A77,P_Baremes!$H$5:$H$400)))</f>
        <v>0</v>
      </c>
      <c r="L77" s="16">
        <f>IF($A77="",0,IF($O77="NUM",IF(ISNUMBER($E77),SUMPRODUCT((P_Baremes!$A$5:$A$400=$A77)*(P_Baremes!$B$5:$B$400="PLAGE")*(((P_Baremes!$D$5:$D$400="")+($E77&gt;=P_Baremes!$D$5:$D$400))&gt;0)*(((P_Baremes!$E$5:$E$400="")+($E77&lt;P_Baremes!$E$5:$E$400))&gt;0)),0),SUMPRODUCT((P_Baremes!$A$5:$A$400=$A77)*(P_Baremes!$B$5:$B$400="MODALITE")*(P_Baremes!$C$5:$C$400=$E77))))</f>
        <v>0</v>
      </c>
      <c r="M77" s="16">
        <f>IF($A77="",0,IF($L77=0,0,IF($O77="NUM",SUMPRODUCT((P_Baremes!$A$5:$A$400=$A77)*(P_Baremes!$B$5:$B$400="PLAGE")*(((P_Baremes!$D$5:$D$400="")+($E77&gt;=P_Baremes!$D$5:$D$400))&gt;0)*(((P_Baremes!$E$5:$E$400="")+($E77&lt;P_Baremes!$E$5:$E$400))&gt;0)*P_Baremes!$H$5:$H$400),SUMPRODUCT((P_Baremes!$A$5:$A$400=$A77)*(P_Baremes!$B$5:$B$400="MODALITE")*(P_Baremes!$C$5:$C$400=$E77)*P_Baremes!$H$5:$H$400))))</f>
        <v>0</v>
      </c>
      <c r="N77" s="8">
        <f>IF($A77="","",P_Criteres!J38)</f>
        <v>0</v>
      </c>
      <c r="O77" s="8">
        <f>IF($A77="","",P_Criteres!D38)</f>
        <v>0</v>
      </c>
      <c r="P77" s="16">
        <f>IF($A77="",0,IFERROR(INDEX(P_DomPoids,MATCH($B77,P_DomCodes,0)),0))</f>
        <v>0</v>
      </c>
      <c r="Q77" s="16">
        <f>P77*G77</f>
        <v>0</v>
      </c>
      <c r="R77" s="8">
        <f>IF(J77,IF(ISNUMBER(SEARCH(","&amp;D77&amp;",",","&amp;R76&amp;",")),R76,R76&amp;IF(R76="","",",")&amp;D77),R76)</f>
        <v>0</v>
      </c>
      <c r="S77" s="8">
        <f>IF(I77,S76&amp;IF(S76="","",", ")&amp;A77,S76)</f>
        <v>0</v>
      </c>
    </row>
    <row r="78" spans="1:19">
      <c r="A78" s="8">
        <f>IF(P_Criteres!A39="","",P_Criteres!A39)</f>
        <v>0</v>
      </c>
      <c r="B78" s="8">
        <f>IF($A78="","",P_Criteres!B39)</f>
        <v>0</v>
      </c>
      <c r="C78" s="8">
        <f>IF($A78="","",P_Criteres!C39)</f>
        <v>0</v>
      </c>
      <c r="D78" s="8">
        <f>IF($A78="","",P_Criteres!F39)</f>
        <v>0</v>
      </c>
      <c r="E78" s="8">
        <f>IF($A78="","",IFERROR(INDEX(In_Retenue,MATCH($D78,In_Cles,0)),""))</f>
        <v>0</v>
      </c>
      <c r="F78" s="16">
        <f>IF($A78="",0,ROUND(MIN(P_Scale,MAX(0,IF($L78=0,$K78,$M78))),2))</f>
        <v>0</v>
      </c>
      <c r="G78" s="16">
        <f>IF($A78="",0,P_Criteres!E39)</f>
        <v>0</v>
      </c>
      <c r="H78" s="16">
        <f>ROUND(F78*G78,2)</f>
        <v>0</v>
      </c>
      <c r="I78" s="8">
        <f>IF($A78="",FALSE,AND(P_Criteres!G39="Oui",ISNUMBER(P_Criteres!H39),F78&lt;=N(P_Criteres!H39)))</f>
        <v>0</v>
      </c>
      <c r="J78" s="8">
        <f>IF($A78="",FALSE,AND(OR(P_Criteres!G39="Oui",P_Criteres!K39="Oui"),$E78=""))</f>
        <v>0</v>
      </c>
      <c r="K78" s="16">
        <f t="array" ref="K78">IF($A78="",0,MIN(IF(P_Baremes!$A$5:$A$400=$A78,P_Baremes!$H$5:$H$400)))</f>
        <v>0</v>
      </c>
      <c r="L78" s="16">
        <f>IF($A78="",0,IF($O78="NUM",IF(ISNUMBER($E78),SUMPRODUCT((P_Baremes!$A$5:$A$400=$A78)*(P_Baremes!$B$5:$B$400="PLAGE")*(((P_Baremes!$D$5:$D$400="")+($E78&gt;=P_Baremes!$D$5:$D$400))&gt;0)*(((P_Baremes!$E$5:$E$400="")+($E78&lt;P_Baremes!$E$5:$E$400))&gt;0)),0),SUMPRODUCT((P_Baremes!$A$5:$A$400=$A78)*(P_Baremes!$B$5:$B$400="MODALITE")*(P_Baremes!$C$5:$C$400=$E78))))</f>
        <v>0</v>
      </c>
      <c r="M78" s="16">
        <f>IF($A78="",0,IF($L78=0,0,IF($O78="NUM",SUMPRODUCT((P_Baremes!$A$5:$A$400=$A78)*(P_Baremes!$B$5:$B$400="PLAGE")*(((P_Baremes!$D$5:$D$400="")+($E78&gt;=P_Baremes!$D$5:$D$400))&gt;0)*(((P_Baremes!$E$5:$E$400="")+($E78&lt;P_Baremes!$E$5:$E$400))&gt;0)*P_Baremes!$H$5:$H$400),SUMPRODUCT((P_Baremes!$A$5:$A$400=$A78)*(P_Baremes!$B$5:$B$400="MODALITE")*(P_Baremes!$C$5:$C$400=$E78)*P_Baremes!$H$5:$H$400))))</f>
        <v>0</v>
      </c>
      <c r="N78" s="8">
        <f>IF($A78="","",P_Criteres!J39)</f>
        <v>0</v>
      </c>
      <c r="O78" s="8">
        <f>IF($A78="","",P_Criteres!D39)</f>
        <v>0</v>
      </c>
      <c r="P78" s="16">
        <f>IF($A78="",0,IFERROR(INDEX(P_DomPoids,MATCH($B78,P_DomCodes,0)),0))</f>
        <v>0</v>
      </c>
      <c r="Q78" s="16">
        <f>P78*G78</f>
        <v>0</v>
      </c>
      <c r="R78" s="8">
        <f>IF(J78,IF(ISNUMBER(SEARCH(","&amp;D78&amp;",",","&amp;R77&amp;",")),R77,R77&amp;IF(R77="","",",")&amp;D78),R77)</f>
        <v>0</v>
      </c>
      <c r="S78" s="8">
        <f>IF(I78,S77&amp;IF(S77="","",", ")&amp;A78,S77)</f>
        <v>0</v>
      </c>
    </row>
    <row r="79" spans="1:19">
      <c r="A79" s="8">
        <f>IF(P_Criteres!A40="","",P_Criteres!A40)</f>
        <v>0</v>
      </c>
      <c r="B79" s="8">
        <f>IF($A79="","",P_Criteres!B40)</f>
        <v>0</v>
      </c>
      <c r="C79" s="8">
        <f>IF($A79="","",P_Criteres!C40)</f>
        <v>0</v>
      </c>
      <c r="D79" s="8">
        <f>IF($A79="","",P_Criteres!F40)</f>
        <v>0</v>
      </c>
      <c r="E79" s="8">
        <f>IF($A79="","",IFERROR(INDEX(In_Retenue,MATCH($D79,In_Cles,0)),""))</f>
        <v>0</v>
      </c>
      <c r="F79" s="16">
        <f>IF($A79="",0,ROUND(MIN(P_Scale,MAX(0,IF($L79=0,$K79,$M79))),2))</f>
        <v>0</v>
      </c>
      <c r="G79" s="16">
        <f>IF($A79="",0,P_Criteres!E40)</f>
        <v>0</v>
      </c>
      <c r="H79" s="16">
        <f>ROUND(F79*G79,2)</f>
        <v>0</v>
      </c>
      <c r="I79" s="8">
        <f>IF($A79="",FALSE,AND(P_Criteres!G40="Oui",ISNUMBER(P_Criteres!H40),F79&lt;=N(P_Criteres!H40)))</f>
        <v>0</v>
      </c>
      <c r="J79" s="8">
        <f>IF($A79="",FALSE,AND(OR(P_Criteres!G40="Oui",P_Criteres!K40="Oui"),$E79=""))</f>
        <v>0</v>
      </c>
      <c r="K79" s="16">
        <f t="array" ref="K79">IF($A79="",0,MIN(IF(P_Baremes!$A$5:$A$400=$A79,P_Baremes!$H$5:$H$400)))</f>
        <v>0</v>
      </c>
      <c r="L79" s="16">
        <f>IF($A79="",0,IF($O79="NUM",IF(ISNUMBER($E79),SUMPRODUCT((P_Baremes!$A$5:$A$400=$A79)*(P_Baremes!$B$5:$B$400="PLAGE")*(((P_Baremes!$D$5:$D$400="")+($E79&gt;=P_Baremes!$D$5:$D$400))&gt;0)*(((P_Baremes!$E$5:$E$400="")+($E79&lt;P_Baremes!$E$5:$E$400))&gt;0)),0),SUMPRODUCT((P_Baremes!$A$5:$A$400=$A79)*(P_Baremes!$B$5:$B$400="MODALITE")*(P_Baremes!$C$5:$C$400=$E79))))</f>
        <v>0</v>
      </c>
      <c r="M79" s="16">
        <f>IF($A79="",0,IF($L79=0,0,IF($O79="NUM",SUMPRODUCT((P_Baremes!$A$5:$A$400=$A79)*(P_Baremes!$B$5:$B$400="PLAGE")*(((P_Baremes!$D$5:$D$400="")+($E79&gt;=P_Baremes!$D$5:$D$400))&gt;0)*(((P_Baremes!$E$5:$E$400="")+($E79&lt;P_Baremes!$E$5:$E$400))&gt;0)*P_Baremes!$H$5:$H$400),SUMPRODUCT((P_Baremes!$A$5:$A$400=$A79)*(P_Baremes!$B$5:$B$400="MODALITE")*(P_Baremes!$C$5:$C$400=$E79)*P_Baremes!$H$5:$H$400))))</f>
        <v>0</v>
      </c>
      <c r="N79" s="8">
        <f>IF($A79="","",P_Criteres!J40)</f>
        <v>0</v>
      </c>
      <c r="O79" s="8">
        <f>IF($A79="","",P_Criteres!D40)</f>
        <v>0</v>
      </c>
      <c r="P79" s="16">
        <f>IF($A79="",0,IFERROR(INDEX(P_DomPoids,MATCH($B79,P_DomCodes,0)),0))</f>
        <v>0</v>
      </c>
      <c r="Q79" s="16">
        <f>P79*G79</f>
        <v>0</v>
      </c>
      <c r="R79" s="8">
        <f>IF(J79,IF(ISNUMBER(SEARCH(","&amp;D79&amp;",",","&amp;R78&amp;",")),R78,R78&amp;IF(R78="","",",")&amp;D79),R78)</f>
        <v>0</v>
      </c>
      <c r="S79" s="8">
        <f>IF(I79,S78&amp;IF(S78="","",", ")&amp;A79,S78)</f>
        <v>0</v>
      </c>
    </row>
    <row r="80" spans="1:19">
      <c r="A80" s="8">
        <f>IF(P_Criteres!A41="","",P_Criteres!A41)</f>
        <v>0</v>
      </c>
      <c r="B80" s="8">
        <f>IF($A80="","",P_Criteres!B41)</f>
        <v>0</v>
      </c>
      <c r="C80" s="8">
        <f>IF($A80="","",P_Criteres!C41)</f>
        <v>0</v>
      </c>
      <c r="D80" s="8">
        <f>IF($A80="","",P_Criteres!F41)</f>
        <v>0</v>
      </c>
      <c r="E80" s="8">
        <f>IF($A80="","",IFERROR(INDEX(In_Retenue,MATCH($D80,In_Cles,0)),""))</f>
        <v>0</v>
      </c>
      <c r="F80" s="16">
        <f>IF($A80="",0,ROUND(MIN(P_Scale,MAX(0,IF($L80=0,$K80,$M80))),2))</f>
        <v>0</v>
      </c>
      <c r="G80" s="16">
        <f>IF($A80="",0,P_Criteres!E41)</f>
        <v>0</v>
      </c>
      <c r="H80" s="16">
        <f>ROUND(F80*G80,2)</f>
        <v>0</v>
      </c>
      <c r="I80" s="8">
        <f>IF($A80="",FALSE,AND(P_Criteres!G41="Oui",ISNUMBER(P_Criteres!H41),F80&lt;=N(P_Criteres!H41)))</f>
        <v>0</v>
      </c>
      <c r="J80" s="8">
        <f>IF($A80="",FALSE,AND(OR(P_Criteres!G41="Oui",P_Criteres!K41="Oui"),$E80=""))</f>
        <v>0</v>
      </c>
      <c r="K80" s="16">
        <f t="array" ref="K80">IF($A80="",0,MIN(IF(P_Baremes!$A$5:$A$400=$A80,P_Baremes!$H$5:$H$400)))</f>
        <v>0</v>
      </c>
      <c r="L80" s="16">
        <f>IF($A80="",0,IF($O80="NUM",IF(ISNUMBER($E80),SUMPRODUCT((P_Baremes!$A$5:$A$400=$A80)*(P_Baremes!$B$5:$B$400="PLAGE")*(((P_Baremes!$D$5:$D$400="")+($E80&gt;=P_Baremes!$D$5:$D$400))&gt;0)*(((P_Baremes!$E$5:$E$400="")+($E80&lt;P_Baremes!$E$5:$E$400))&gt;0)),0),SUMPRODUCT((P_Baremes!$A$5:$A$400=$A80)*(P_Baremes!$B$5:$B$400="MODALITE")*(P_Baremes!$C$5:$C$400=$E80))))</f>
        <v>0</v>
      </c>
      <c r="M80" s="16">
        <f>IF($A80="",0,IF($L80=0,0,IF($O80="NUM",SUMPRODUCT((P_Baremes!$A$5:$A$400=$A80)*(P_Baremes!$B$5:$B$400="PLAGE")*(((P_Baremes!$D$5:$D$400="")+($E80&gt;=P_Baremes!$D$5:$D$400))&gt;0)*(((P_Baremes!$E$5:$E$400="")+($E80&lt;P_Baremes!$E$5:$E$400))&gt;0)*P_Baremes!$H$5:$H$400),SUMPRODUCT((P_Baremes!$A$5:$A$400=$A80)*(P_Baremes!$B$5:$B$400="MODALITE")*(P_Baremes!$C$5:$C$400=$E80)*P_Baremes!$H$5:$H$400))))</f>
        <v>0</v>
      </c>
      <c r="N80" s="8">
        <f>IF($A80="","",P_Criteres!J41)</f>
        <v>0</v>
      </c>
      <c r="O80" s="8">
        <f>IF($A80="","",P_Criteres!D41)</f>
        <v>0</v>
      </c>
      <c r="P80" s="16">
        <f>IF($A80="",0,IFERROR(INDEX(P_DomPoids,MATCH($B80,P_DomCodes,0)),0))</f>
        <v>0</v>
      </c>
      <c r="Q80" s="16">
        <f>P80*G80</f>
        <v>0</v>
      </c>
      <c r="R80" s="8">
        <f>IF(J80,IF(ISNUMBER(SEARCH(","&amp;D80&amp;",",","&amp;R79&amp;",")),R79,R79&amp;IF(R79="","",",")&amp;D80),R79)</f>
        <v>0</v>
      </c>
      <c r="S80" s="8">
        <f>IF(I80,S79&amp;IF(S79="","",", ")&amp;A80,S79)</f>
        <v>0</v>
      </c>
    </row>
    <row r="81" spans="1:19">
      <c r="A81" s="8">
        <f>IF(P_Criteres!A42="","",P_Criteres!A42)</f>
        <v>0</v>
      </c>
      <c r="B81" s="8">
        <f>IF($A81="","",P_Criteres!B42)</f>
        <v>0</v>
      </c>
      <c r="C81" s="8">
        <f>IF($A81="","",P_Criteres!C42)</f>
        <v>0</v>
      </c>
      <c r="D81" s="8">
        <f>IF($A81="","",P_Criteres!F42)</f>
        <v>0</v>
      </c>
      <c r="E81" s="8">
        <f>IF($A81="","",IFERROR(INDEX(In_Retenue,MATCH($D81,In_Cles,0)),""))</f>
        <v>0</v>
      </c>
      <c r="F81" s="16">
        <f>IF($A81="",0,ROUND(MIN(P_Scale,MAX(0,IF($L81=0,$K81,$M81))),2))</f>
        <v>0</v>
      </c>
      <c r="G81" s="16">
        <f>IF($A81="",0,P_Criteres!E42)</f>
        <v>0</v>
      </c>
      <c r="H81" s="16">
        <f>ROUND(F81*G81,2)</f>
        <v>0</v>
      </c>
      <c r="I81" s="8">
        <f>IF($A81="",FALSE,AND(P_Criteres!G42="Oui",ISNUMBER(P_Criteres!H42),F81&lt;=N(P_Criteres!H42)))</f>
        <v>0</v>
      </c>
      <c r="J81" s="8">
        <f>IF($A81="",FALSE,AND(OR(P_Criteres!G42="Oui",P_Criteres!K42="Oui"),$E81=""))</f>
        <v>0</v>
      </c>
      <c r="K81" s="16">
        <f t="array" ref="K81">IF($A81="",0,MIN(IF(P_Baremes!$A$5:$A$400=$A81,P_Baremes!$H$5:$H$400)))</f>
        <v>0</v>
      </c>
      <c r="L81" s="16">
        <f>IF($A81="",0,IF($O81="NUM",IF(ISNUMBER($E81),SUMPRODUCT((P_Baremes!$A$5:$A$400=$A81)*(P_Baremes!$B$5:$B$400="PLAGE")*(((P_Baremes!$D$5:$D$400="")+($E81&gt;=P_Baremes!$D$5:$D$400))&gt;0)*(((P_Baremes!$E$5:$E$400="")+($E81&lt;P_Baremes!$E$5:$E$400))&gt;0)),0),SUMPRODUCT((P_Baremes!$A$5:$A$400=$A81)*(P_Baremes!$B$5:$B$400="MODALITE")*(P_Baremes!$C$5:$C$400=$E81))))</f>
        <v>0</v>
      </c>
      <c r="M81" s="16">
        <f>IF($A81="",0,IF($L81=0,0,IF($O81="NUM",SUMPRODUCT((P_Baremes!$A$5:$A$400=$A81)*(P_Baremes!$B$5:$B$400="PLAGE")*(((P_Baremes!$D$5:$D$400="")+($E81&gt;=P_Baremes!$D$5:$D$400))&gt;0)*(((P_Baremes!$E$5:$E$400="")+($E81&lt;P_Baremes!$E$5:$E$400))&gt;0)*P_Baremes!$H$5:$H$400),SUMPRODUCT((P_Baremes!$A$5:$A$400=$A81)*(P_Baremes!$B$5:$B$400="MODALITE")*(P_Baremes!$C$5:$C$400=$E81)*P_Baremes!$H$5:$H$400))))</f>
        <v>0</v>
      </c>
      <c r="N81" s="8">
        <f>IF($A81="","",P_Criteres!J42)</f>
        <v>0</v>
      </c>
      <c r="O81" s="8">
        <f>IF($A81="","",P_Criteres!D42)</f>
        <v>0</v>
      </c>
      <c r="P81" s="16">
        <f>IF($A81="",0,IFERROR(INDEX(P_DomPoids,MATCH($B81,P_DomCodes,0)),0))</f>
        <v>0</v>
      </c>
      <c r="Q81" s="16">
        <f>P81*G81</f>
        <v>0</v>
      </c>
      <c r="R81" s="8">
        <f>IF(J81,IF(ISNUMBER(SEARCH(","&amp;D81&amp;",",","&amp;R80&amp;",")),R80,R80&amp;IF(R80="","",",")&amp;D81),R80)</f>
        <v>0</v>
      </c>
      <c r="S81" s="8">
        <f>IF(I81,S80&amp;IF(S80="","",", ")&amp;A81,S80)</f>
        <v>0</v>
      </c>
    </row>
    <row r="82" spans="1:19">
      <c r="A82" s="8">
        <f>IF(P_Criteres!A43="","",P_Criteres!A43)</f>
        <v>0</v>
      </c>
      <c r="B82" s="8">
        <f>IF($A82="","",P_Criteres!B43)</f>
        <v>0</v>
      </c>
      <c r="C82" s="8">
        <f>IF($A82="","",P_Criteres!C43)</f>
        <v>0</v>
      </c>
      <c r="D82" s="8">
        <f>IF($A82="","",P_Criteres!F43)</f>
        <v>0</v>
      </c>
      <c r="E82" s="8">
        <f>IF($A82="","",IFERROR(INDEX(In_Retenue,MATCH($D82,In_Cles,0)),""))</f>
        <v>0</v>
      </c>
      <c r="F82" s="16">
        <f>IF($A82="",0,ROUND(MIN(P_Scale,MAX(0,IF($L82=0,$K82,$M82))),2))</f>
        <v>0</v>
      </c>
      <c r="G82" s="16">
        <f>IF($A82="",0,P_Criteres!E43)</f>
        <v>0</v>
      </c>
      <c r="H82" s="16">
        <f>ROUND(F82*G82,2)</f>
        <v>0</v>
      </c>
      <c r="I82" s="8">
        <f>IF($A82="",FALSE,AND(P_Criteres!G43="Oui",ISNUMBER(P_Criteres!H43),F82&lt;=N(P_Criteres!H43)))</f>
        <v>0</v>
      </c>
      <c r="J82" s="8">
        <f>IF($A82="",FALSE,AND(OR(P_Criteres!G43="Oui",P_Criteres!K43="Oui"),$E82=""))</f>
        <v>0</v>
      </c>
      <c r="K82" s="16">
        <f t="array" ref="K82">IF($A82="",0,MIN(IF(P_Baremes!$A$5:$A$400=$A82,P_Baremes!$H$5:$H$400)))</f>
        <v>0</v>
      </c>
      <c r="L82" s="16">
        <f>IF($A82="",0,IF($O82="NUM",IF(ISNUMBER($E82),SUMPRODUCT((P_Baremes!$A$5:$A$400=$A82)*(P_Baremes!$B$5:$B$400="PLAGE")*(((P_Baremes!$D$5:$D$400="")+($E82&gt;=P_Baremes!$D$5:$D$400))&gt;0)*(((P_Baremes!$E$5:$E$400="")+($E82&lt;P_Baremes!$E$5:$E$400))&gt;0)),0),SUMPRODUCT((P_Baremes!$A$5:$A$400=$A82)*(P_Baremes!$B$5:$B$400="MODALITE")*(P_Baremes!$C$5:$C$400=$E82))))</f>
        <v>0</v>
      </c>
      <c r="M82" s="16">
        <f>IF($A82="",0,IF($L82=0,0,IF($O82="NUM",SUMPRODUCT((P_Baremes!$A$5:$A$400=$A82)*(P_Baremes!$B$5:$B$400="PLAGE")*(((P_Baremes!$D$5:$D$400="")+($E82&gt;=P_Baremes!$D$5:$D$400))&gt;0)*(((P_Baremes!$E$5:$E$400="")+($E82&lt;P_Baremes!$E$5:$E$400))&gt;0)*P_Baremes!$H$5:$H$400),SUMPRODUCT((P_Baremes!$A$5:$A$400=$A82)*(P_Baremes!$B$5:$B$400="MODALITE")*(P_Baremes!$C$5:$C$400=$E82)*P_Baremes!$H$5:$H$400))))</f>
        <v>0</v>
      </c>
      <c r="N82" s="8">
        <f>IF($A82="","",P_Criteres!J43)</f>
        <v>0</v>
      </c>
      <c r="O82" s="8">
        <f>IF($A82="","",P_Criteres!D43)</f>
        <v>0</v>
      </c>
      <c r="P82" s="16">
        <f>IF($A82="",0,IFERROR(INDEX(P_DomPoids,MATCH($B82,P_DomCodes,0)),0))</f>
        <v>0</v>
      </c>
      <c r="Q82" s="16">
        <f>P82*G82</f>
        <v>0</v>
      </c>
      <c r="R82" s="8">
        <f>IF(J82,IF(ISNUMBER(SEARCH(","&amp;D82&amp;",",","&amp;R81&amp;",")),R81,R81&amp;IF(R81="","",",")&amp;D82),R81)</f>
        <v>0</v>
      </c>
      <c r="S82" s="8">
        <f>IF(I82,S81&amp;IF(S81="","",", ")&amp;A82,S81)</f>
        <v>0</v>
      </c>
    </row>
    <row r="83" spans="1:19">
      <c r="A83" s="8">
        <f>IF(P_Criteres!A44="","",P_Criteres!A44)</f>
        <v>0</v>
      </c>
      <c r="B83" s="8">
        <f>IF($A83="","",P_Criteres!B44)</f>
        <v>0</v>
      </c>
      <c r="C83" s="8">
        <f>IF($A83="","",P_Criteres!C44)</f>
        <v>0</v>
      </c>
      <c r="D83" s="8">
        <f>IF($A83="","",P_Criteres!F44)</f>
        <v>0</v>
      </c>
      <c r="E83" s="8">
        <f>IF($A83="","",IFERROR(INDEX(In_Retenue,MATCH($D83,In_Cles,0)),""))</f>
        <v>0</v>
      </c>
      <c r="F83" s="16">
        <f>IF($A83="",0,ROUND(MIN(P_Scale,MAX(0,IF($L83=0,$K83,$M83))),2))</f>
        <v>0</v>
      </c>
      <c r="G83" s="16">
        <f>IF($A83="",0,P_Criteres!E44)</f>
        <v>0</v>
      </c>
      <c r="H83" s="16">
        <f>ROUND(F83*G83,2)</f>
        <v>0</v>
      </c>
      <c r="I83" s="8">
        <f>IF($A83="",FALSE,AND(P_Criteres!G44="Oui",ISNUMBER(P_Criteres!H44),F83&lt;=N(P_Criteres!H44)))</f>
        <v>0</v>
      </c>
      <c r="J83" s="8">
        <f>IF($A83="",FALSE,AND(OR(P_Criteres!G44="Oui",P_Criteres!K44="Oui"),$E83=""))</f>
        <v>0</v>
      </c>
      <c r="K83" s="16">
        <f t="array" ref="K83">IF($A83="",0,MIN(IF(P_Baremes!$A$5:$A$400=$A83,P_Baremes!$H$5:$H$400)))</f>
        <v>0</v>
      </c>
      <c r="L83" s="16">
        <f>IF($A83="",0,IF($O83="NUM",IF(ISNUMBER($E83),SUMPRODUCT((P_Baremes!$A$5:$A$400=$A83)*(P_Baremes!$B$5:$B$400="PLAGE")*(((P_Baremes!$D$5:$D$400="")+($E83&gt;=P_Baremes!$D$5:$D$400))&gt;0)*(((P_Baremes!$E$5:$E$400="")+($E83&lt;P_Baremes!$E$5:$E$400))&gt;0)),0),SUMPRODUCT((P_Baremes!$A$5:$A$400=$A83)*(P_Baremes!$B$5:$B$400="MODALITE")*(P_Baremes!$C$5:$C$400=$E83))))</f>
        <v>0</v>
      </c>
      <c r="M83" s="16">
        <f>IF($A83="",0,IF($L83=0,0,IF($O83="NUM",SUMPRODUCT((P_Baremes!$A$5:$A$400=$A83)*(P_Baremes!$B$5:$B$400="PLAGE")*(((P_Baremes!$D$5:$D$400="")+($E83&gt;=P_Baremes!$D$5:$D$400))&gt;0)*(((P_Baremes!$E$5:$E$400="")+($E83&lt;P_Baremes!$E$5:$E$400))&gt;0)*P_Baremes!$H$5:$H$400),SUMPRODUCT((P_Baremes!$A$5:$A$400=$A83)*(P_Baremes!$B$5:$B$400="MODALITE")*(P_Baremes!$C$5:$C$400=$E83)*P_Baremes!$H$5:$H$400))))</f>
        <v>0</v>
      </c>
      <c r="N83" s="8">
        <f>IF($A83="","",P_Criteres!J44)</f>
        <v>0</v>
      </c>
      <c r="O83" s="8">
        <f>IF($A83="","",P_Criteres!D44)</f>
        <v>0</v>
      </c>
      <c r="P83" s="16">
        <f>IF($A83="",0,IFERROR(INDEX(P_DomPoids,MATCH($B83,P_DomCodes,0)),0))</f>
        <v>0</v>
      </c>
      <c r="Q83" s="16">
        <f>P83*G83</f>
        <v>0</v>
      </c>
      <c r="R83" s="8">
        <f>IF(J83,IF(ISNUMBER(SEARCH(","&amp;D83&amp;",",","&amp;R82&amp;",")),R82,R82&amp;IF(R82="","",",")&amp;D83),R82)</f>
        <v>0</v>
      </c>
      <c r="S83" s="8">
        <f>IF(I83,S82&amp;IF(S82="","",", ")&amp;A83,S82)</f>
        <v>0</v>
      </c>
    </row>
    <row r="84" spans="1:19">
      <c r="A84" s="8">
        <f>IF(P_Criteres!A45="","",P_Criteres!A45)</f>
        <v>0</v>
      </c>
      <c r="B84" s="8">
        <f>IF($A84="","",P_Criteres!B45)</f>
        <v>0</v>
      </c>
      <c r="C84" s="8">
        <f>IF($A84="","",P_Criteres!C45)</f>
        <v>0</v>
      </c>
      <c r="D84" s="8">
        <f>IF($A84="","",P_Criteres!F45)</f>
        <v>0</v>
      </c>
      <c r="E84" s="8">
        <f>IF($A84="","",IFERROR(INDEX(In_Retenue,MATCH($D84,In_Cles,0)),""))</f>
        <v>0</v>
      </c>
      <c r="F84" s="16">
        <f>IF($A84="",0,ROUND(MIN(P_Scale,MAX(0,IF($L84=0,$K84,$M84))),2))</f>
        <v>0</v>
      </c>
      <c r="G84" s="16">
        <f>IF($A84="",0,P_Criteres!E45)</f>
        <v>0</v>
      </c>
      <c r="H84" s="16">
        <f>ROUND(F84*G84,2)</f>
        <v>0</v>
      </c>
      <c r="I84" s="8">
        <f>IF($A84="",FALSE,AND(P_Criteres!G45="Oui",ISNUMBER(P_Criteres!H45),F84&lt;=N(P_Criteres!H45)))</f>
        <v>0</v>
      </c>
      <c r="J84" s="8">
        <f>IF($A84="",FALSE,AND(OR(P_Criteres!G45="Oui",P_Criteres!K45="Oui"),$E84=""))</f>
        <v>0</v>
      </c>
      <c r="K84" s="16">
        <f t="array" ref="K84">IF($A84="",0,MIN(IF(P_Baremes!$A$5:$A$400=$A84,P_Baremes!$H$5:$H$400)))</f>
        <v>0</v>
      </c>
      <c r="L84" s="16">
        <f>IF($A84="",0,IF($O84="NUM",IF(ISNUMBER($E84),SUMPRODUCT((P_Baremes!$A$5:$A$400=$A84)*(P_Baremes!$B$5:$B$400="PLAGE")*(((P_Baremes!$D$5:$D$400="")+($E84&gt;=P_Baremes!$D$5:$D$400))&gt;0)*(((P_Baremes!$E$5:$E$400="")+($E84&lt;P_Baremes!$E$5:$E$400))&gt;0)),0),SUMPRODUCT((P_Baremes!$A$5:$A$400=$A84)*(P_Baremes!$B$5:$B$400="MODALITE")*(P_Baremes!$C$5:$C$400=$E84))))</f>
        <v>0</v>
      </c>
      <c r="M84" s="16">
        <f>IF($A84="",0,IF($L84=0,0,IF($O84="NUM",SUMPRODUCT((P_Baremes!$A$5:$A$400=$A84)*(P_Baremes!$B$5:$B$400="PLAGE")*(((P_Baremes!$D$5:$D$400="")+($E84&gt;=P_Baremes!$D$5:$D$400))&gt;0)*(((P_Baremes!$E$5:$E$400="")+($E84&lt;P_Baremes!$E$5:$E$400))&gt;0)*P_Baremes!$H$5:$H$400),SUMPRODUCT((P_Baremes!$A$5:$A$400=$A84)*(P_Baremes!$B$5:$B$400="MODALITE")*(P_Baremes!$C$5:$C$400=$E84)*P_Baremes!$H$5:$H$400))))</f>
        <v>0</v>
      </c>
      <c r="N84" s="8">
        <f>IF($A84="","",P_Criteres!J45)</f>
        <v>0</v>
      </c>
      <c r="O84" s="8">
        <f>IF($A84="","",P_Criteres!D45)</f>
        <v>0</v>
      </c>
      <c r="P84" s="16">
        <f>IF($A84="",0,IFERROR(INDEX(P_DomPoids,MATCH($B84,P_DomCodes,0)),0))</f>
        <v>0</v>
      </c>
      <c r="Q84" s="16">
        <f>P84*G84</f>
        <v>0</v>
      </c>
      <c r="R84" s="8">
        <f>IF(J84,IF(ISNUMBER(SEARCH(","&amp;D84&amp;",",","&amp;R83&amp;",")),R83,R83&amp;IF(R83="","",",")&amp;D84),R83)</f>
        <v>0</v>
      </c>
      <c r="S84" s="8">
        <f>IF(I84,S83&amp;IF(S83="","",", ")&amp;A84,S83)</f>
        <v>0</v>
      </c>
    </row>
    <row r="85" spans="1:19">
      <c r="A85" s="8">
        <f>IF(P_Criteres!A46="","",P_Criteres!A46)</f>
        <v>0</v>
      </c>
      <c r="B85" s="8">
        <f>IF($A85="","",P_Criteres!B46)</f>
        <v>0</v>
      </c>
      <c r="C85" s="8">
        <f>IF($A85="","",P_Criteres!C46)</f>
        <v>0</v>
      </c>
      <c r="D85" s="8">
        <f>IF($A85="","",P_Criteres!F46)</f>
        <v>0</v>
      </c>
      <c r="E85" s="8">
        <f>IF($A85="","",IFERROR(INDEX(In_Retenue,MATCH($D85,In_Cles,0)),""))</f>
        <v>0</v>
      </c>
      <c r="F85" s="16">
        <f>IF($A85="",0,ROUND(MIN(P_Scale,MAX(0,IF($L85=0,$K85,$M85))),2))</f>
        <v>0</v>
      </c>
      <c r="G85" s="16">
        <f>IF($A85="",0,P_Criteres!E46)</f>
        <v>0</v>
      </c>
      <c r="H85" s="16">
        <f>ROUND(F85*G85,2)</f>
        <v>0</v>
      </c>
      <c r="I85" s="8">
        <f>IF($A85="",FALSE,AND(P_Criteres!G46="Oui",ISNUMBER(P_Criteres!H46),F85&lt;=N(P_Criteres!H46)))</f>
        <v>0</v>
      </c>
      <c r="J85" s="8">
        <f>IF($A85="",FALSE,AND(OR(P_Criteres!G46="Oui",P_Criteres!K46="Oui"),$E85=""))</f>
        <v>0</v>
      </c>
      <c r="K85" s="16">
        <f t="array" ref="K85">IF($A85="",0,MIN(IF(P_Baremes!$A$5:$A$400=$A85,P_Baremes!$H$5:$H$400)))</f>
        <v>0</v>
      </c>
      <c r="L85" s="16">
        <f>IF($A85="",0,IF($O85="NUM",IF(ISNUMBER($E85),SUMPRODUCT((P_Baremes!$A$5:$A$400=$A85)*(P_Baremes!$B$5:$B$400="PLAGE")*(((P_Baremes!$D$5:$D$400="")+($E85&gt;=P_Baremes!$D$5:$D$400))&gt;0)*(((P_Baremes!$E$5:$E$400="")+($E85&lt;P_Baremes!$E$5:$E$400))&gt;0)),0),SUMPRODUCT((P_Baremes!$A$5:$A$400=$A85)*(P_Baremes!$B$5:$B$400="MODALITE")*(P_Baremes!$C$5:$C$400=$E85))))</f>
        <v>0</v>
      </c>
      <c r="M85" s="16">
        <f>IF($A85="",0,IF($L85=0,0,IF($O85="NUM",SUMPRODUCT((P_Baremes!$A$5:$A$400=$A85)*(P_Baremes!$B$5:$B$400="PLAGE")*(((P_Baremes!$D$5:$D$400="")+($E85&gt;=P_Baremes!$D$5:$D$400))&gt;0)*(((P_Baremes!$E$5:$E$400="")+($E85&lt;P_Baremes!$E$5:$E$400))&gt;0)*P_Baremes!$H$5:$H$400),SUMPRODUCT((P_Baremes!$A$5:$A$400=$A85)*(P_Baremes!$B$5:$B$400="MODALITE")*(P_Baremes!$C$5:$C$400=$E85)*P_Baremes!$H$5:$H$400))))</f>
        <v>0</v>
      </c>
      <c r="N85" s="8">
        <f>IF($A85="","",P_Criteres!J46)</f>
        <v>0</v>
      </c>
      <c r="O85" s="8">
        <f>IF($A85="","",P_Criteres!D46)</f>
        <v>0</v>
      </c>
      <c r="P85" s="16">
        <f>IF($A85="",0,IFERROR(INDEX(P_DomPoids,MATCH($B85,P_DomCodes,0)),0))</f>
        <v>0</v>
      </c>
      <c r="Q85" s="16">
        <f>P85*G85</f>
        <v>0</v>
      </c>
      <c r="R85" s="8">
        <f>IF(J85,IF(ISNUMBER(SEARCH(","&amp;D85&amp;",",","&amp;R84&amp;",")),R84,R84&amp;IF(R84="","",",")&amp;D85),R84)</f>
        <v>0</v>
      </c>
      <c r="S85" s="8">
        <f>IF(I85,S84&amp;IF(S84="","",", ")&amp;A85,S84)</f>
        <v>0</v>
      </c>
    </row>
    <row r="86" spans="1:19">
      <c r="A86" s="8">
        <f>IF(P_Criteres!A47="","",P_Criteres!A47)</f>
        <v>0</v>
      </c>
      <c r="B86" s="8">
        <f>IF($A86="","",P_Criteres!B47)</f>
        <v>0</v>
      </c>
      <c r="C86" s="8">
        <f>IF($A86="","",P_Criteres!C47)</f>
        <v>0</v>
      </c>
      <c r="D86" s="8">
        <f>IF($A86="","",P_Criteres!F47)</f>
        <v>0</v>
      </c>
      <c r="E86" s="8">
        <f>IF($A86="","",IFERROR(INDEX(In_Retenue,MATCH($D86,In_Cles,0)),""))</f>
        <v>0</v>
      </c>
      <c r="F86" s="16">
        <f>IF($A86="",0,ROUND(MIN(P_Scale,MAX(0,IF($L86=0,$K86,$M86))),2))</f>
        <v>0</v>
      </c>
      <c r="G86" s="16">
        <f>IF($A86="",0,P_Criteres!E47)</f>
        <v>0</v>
      </c>
      <c r="H86" s="16">
        <f>ROUND(F86*G86,2)</f>
        <v>0</v>
      </c>
      <c r="I86" s="8">
        <f>IF($A86="",FALSE,AND(P_Criteres!G47="Oui",ISNUMBER(P_Criteres!H47),F86&lt;=N(P_Criteres!H47)))</f>
        <v>0</v>
      </c>
      <c r="J86" s="8">
        <f>IF($A86="",FALSE,AND(OR(P_Criteres!G47="Oui",P_Criteres!K47="Oui"),$E86=""))</f>
        <v>0</v>
      </c>
      <c r="K86" s="16">
        <f t="array" ref="K86">IF($A86="",0,MIN(IF(P_Baremes!$A$5:$A$400=$A86,P_Baremes!$H$5:$H$400)))</f>
        <v>0</v>
      </c>
      <c r="L86" s="16">
        <f>IF($A86="",0,IF($O86="NUM",IF(ISNUMBER($E86),SUMPRODUCT((P_Baremes!$A$5:$A$400=$A86)*(P_Baremes!$B$5:$B$400="PLAGE")*(((P_Baremes!$D$5:$D$400="")+($E86&gt;=P_Baremes!$D$5:$D$400))&gt;0)*(((P_Baremes!$E$5:$E$400="")+($E86&lt;P_Baremes!$E$5:$E$400))&gt;0)),0),SUMPRODUCT((P_Baremes!$A$5:$A$400=$A86)*(P_Baremes!$B$5:$B$400="MODALITE")*(P_Baremes!$C$5:$C$400=$E86))))</f>
        <v>0</v>
      </c>
      <c r="M86" s="16">
        <f>IF($A86="",0,IF($L86=0,0,IF($O86="NUM",SUMPRODUCT((P_Baremes!$A$5:$A$400=$A86)*(P_Baremes!$B$5:$B$400="PLAGE")*(((P_Baremes!$D$5:$D$400="")+($E86&gt;=P_Baremes!$D$5:$D$400))&gt;0)*(((P_Baremes!$E$5:$E$400="")+($E86&lt;P_Baremes!$E$5:$E$400))&gt;0)*P_Baremes!$H$5:$H$400),SUMPRODUCT((P_Baremes!$A$5:$A$400=$A86)*(P_Baremes!$B$5:$B$400="MODALITE")*(P_Baremes!$C$5:$C$400=$E86)*P_Baremes!$H$5:$H$400))))</f>
        <v>0</v>
      </c>
      <c r="N86" s="8">
        <f>IF($A86="","",P_Criteres!J47)</f>
        <v>0</v>
      </c>
      <c r="O86" s="8">
        <f>IF($A86="","",P_Criteres!D47)</f>
        <v>0</v>
      </c>
      <c r="P86" s="16">
        <f>IF($A86="",0,IFERROR(INDEX(P_DomPoids,MATCH($B86,P_DomCodes,0)),0))</f>
        <v>0</v>
      </c>
      <c r="Q86" s="16">
        <f>P86*G86</f>
        <v>0</v>
      </c>
      <c r="R86" s="8">
        <f>IF(J86,IF(ISNUMBER(SEARCH(","&amp;D86&amp;",",","&amp;R85&amp;",")),R85,R85&amp;IF(R85="","",",")&amp;D86),R85)</f>
        <v>0</v>
      </c>
      <c r="S86" s="8">
        <f>IF(I86,S85&amp;IF(S85="","",", ")&amp;A86,S85)</f>
        <v>0</v>
      </c>
    </row>
    <row r="87" spans="1:19">
      <c r="A87" s="8">
        <f>IF(P_Criteres!A48="","",P_Criteres!A48)</f>
        <v>0</v>
      </c>
      <c r="B87" s="8">
        <f>IF($A87="","",P_Criteres!B48)</f>
        <v>0</v>
      </c>
      <c r="C87" s="8">
        <f>IF($A87="","",P_Criteres!C48)</f>
        <v>0</v>
      </c>
      <c r="D87" s="8">
        <f>IF($A87="","",P_Criteres!F48)</f>
        <v>0</v>
      </c>
      <c r="E87" s="8">
        <f>IF($A87="","",IFERROR(INDEX(In_Retenue,MATCH($D87,In_Cles,0)),""))</f>
        <v>0</v>
      </c>
      <c r="F87" s="16">
        <f>IF($A87="",0,ROUND(MIN(P_Scale,MAX(0,IF($L87=0,$K87,$M87))),2))</f>
        <v>0</v>
      </c>
      <c r="G87" s="16">
        <f>IF($A87="",0,P_Criteres!E48)</f>
        <v>0</v>
      </c>
      <c r="H87" s="16">
        <f>ROUND(F87*G87,2)</f>
        <v>0</v>
      </c>
      <c r="I87" s="8">
        <f>IF($A87="",FALSE,AND(P_Criteres!G48="Oui",ISNUMBER(P_Criteres!H48),F87&lt;=N(P_Criteres!H48)))</f>
        <v>0</v>
      </c>
      <c r="J87" s="8">
        <f>IF($A87="",FALSE,AND(OR(P_Criteres!G48="Oui",P_Criteres!K48="Oui"),$E87=""))</f>
        <v>0</v>
      </c>
      <c r="K87" s="16">
        <f t="array" ref="K87">IF($A87="",0,MIN(IF(P_Baremes!$A$5:$A$400=$A87,P_Baremes!$H$5:$H$400)))</f>
        <v>0</v>
      </c>
      <c r="L87" s="16">
        <f>IF($A87="",0,IF($O87="NUM",IF(ISNUMBER($E87),SUMPRODUCT((P_Baremes!$A$5:$A$400=$A87)*(P_Baremes!$B$5:$B$400="PLAGE")*(((P_Baremes!$D$5:$D$400="")+($E87&gt;=P_Baremes!$D$5:$D$400))&gt;0)*(((P_Baremes!$E$5:$E$400="")+($E87&lt;P_Baremes!$E$5:$E$400))&gt;0)),0),SUMPRODUCT((P_Baremes!$A$5:$A$400=$A87)*(P_Baremes!$B$5:$B$400="MODALITE")*(P_Baremes!$C$5:$C$400=$E87))))</f>
        <v>0</v>
      </c>
      <c r="M87" s="16">
        <f>IF($A87="",0,IF($L87=0,0,IF($O87="NUM",SUMPRODUCT((P_Baremes!$A$5:$A$400=$A87)*(P_Baremes!$B$5:$B$400="PLAGE")*(((P_Baremes!$D$5:$D$400="")+($E87&gt;=P_Baremes!$D$5:$D$400))&gt;0)*(((P_Baremes!$E$5:$E$400="")+($E87&lt;P_Baremes!$E$5:$E$400))&gt;0)*P_Baremes!$H$5:$H$400),SUMPRODUCT((P_Baremes!$A$5:$A$400=$A87)*(P_Baremes!$B$5:$B$400="MODALITE")*(P_Baremes!$C$5:$C$400=$E87)*P_Baremes!$H$5:$H$400))))</f>
        <v>0</v>
      </c>
      <c r="N87" s="8">
        <f>IF($A87="","",P_Criteres!J48)</f>
        <v>0</v>
      </c>
      <c r="O87" s="8">
        <f>IF($A87="","",P_Criteres!D48)</f>
        <v>0</v>
      </c>
      <c r="P87" s="16">
        <f>IF($A87="",0,IFERROR(INDEX(P_DomPoids,MATCH($B87,P_DomCodes,0)),0))</f>
        <v>0</v>
      </c>
      <c r="Q87" s="16">
        <f>P87*G87</f>
        <v>0</v>
      </c>
      <c r="R87" s="8">
        <f>IF(J87,IF(ISNUMBER(SEARCH(","&amp;D87&amp;",",","&amp;R86&amp;",")),R86,R86&amp;IF(R86="","",",")&amp;D87),R86)</f>
        <v>0</v>
      </c>
      <c r="S87" s="8">
        <f>IF(I87,S86&amp;IF(S86="","",", ")&amp;A87,S86)</f>
        <v>0</v>
      </c>
    </row>
    <row r="88" spans="1:19">
      <c r="A88" s="8">
        <f>IF(P_Criteres!A49="","",P_Criteres!A49)</f>
        <v>0</v>
      </c>
      <c r="B88" s="8">
        <f>IF($A88="","",P_Criteres!B49)</f>
        <v>0</v>
      </c>
      <c r="C88" s="8">
        <f>IF($A88="","",P_Criteres!C49)</f>
        <v>0</v>
      </c>
      <c r="D88" s="8">
        <f>IF($A88="","",P_Criteres!F49)</f>
        <v>0</v>
      </c>
      <c r="E88" s="8">
        <f>IF($A88="","",IFERROR(INDEX(In_Retenue,MATCH($D88,In_Cles,0)),""))</f>
        <v>0</v>
      </c>
      <c r="F88" s="16">
        <f>IF($A88="",0,ROUND(MIN(P_Scale,MAX(0,IF($L88=0,$K88,$M88))),2))</f>
        <v>0</v>
      </c>
      <c r="G88" s="16">
        <f>IF($A88="",0,P_Criteres!E49)</f>
        <v>0</v>
      </c>
      <c r="H88" s="16">
        <f>ROUND(F88*G88,2)</f>
        <v>0</v>
      </c>
      <c r="I88" s="8">
        <f>IF($A88="",FALSE,AND(P_Criteres!G49="Oui",ISNUMBER(P_Criteres!H49),F88&lt;=N(P_Criteres!H49)))</f>
        <v>0</v>
      </c>
      <c r="J88" s="8">
        <f>IF($A88="",FALSE,AND(OR(P_Criteres!G49="Oui",P_Criteres!K49="Oui"),$E88=""))</f>
        <v>0</v>
      </c>
      <c r="K88" s="16">
        <f t="array" ref="K88">IF($A88="",0,MIN(IF(P_Baremes!$A$5:$A$400=$A88,P_Baremes!$H$5:$H$400)))</f>
        <v>0</v>
      </c>
      <c r="L88" s="16">
        <f>IF($A88="",0,IF($O88="NUM",IF(ISNUMBER($E88),SUMPRODUCT((P_Baremes!$A$5:$A$400=$A88)*(P_Baremes!$B$5:$B$400="PLAGE")*(((P_Baremes!$D$5:$D$400="")+($E88&gt;=P_Baremes!$D$5:$D$400))&gt;0)*(((P_Baremes!$E$5:$E$400="")+($E88&lt;P_Baremes!$E$5:$E$400))&gt;0)),0),SUMPRODUCT((P_Baremes!$A$5:$A$400=$A88)*(P_Baremes!$B$5:$B$400="MODALITE")*(P_Baremes!$C$5:$C$400=$E88))))</f>
        <v>0</v>
      </c>
      <c r="M88" s="16">
        <f>IF($A88="",0,IF($L88=0,0,IF($O88="NUM",SUMPRODUCT((P_Baremes!$A$5:$A$400=$A88)*(P_Baremes!$B$5:$B$400="PLAGE")*(((P_Baremes!$D$5:$D$400="")+($E88&gt;=P_Baremes!$D$5:$D$400))&gt;0)*(((P_Baremes!$E$5:$E$400="")+($E88&lt;P_Baremes!$E$5:$E$400))&gt;0)*P_Baremes!$H$5:$H$400),SUMPRODUCT((P_Baremes!$A$5:$A$400=$A88)*(P_Baremes!$B$5:$B$400="MODALITE")*(P_Baremes!$C$5:$C$400=$E88)*P_Baremes!$H$5:$H$400))))</f>
        <v>0</v>
      </c>
      <c r="N88" s="8">
        <f>IF($A88="","",P_Criteres!J49)</f>
        <v>0</v>
      </c>
      <c r="O88" s="8">
        <f>IF($A88="","",P_Criteres!D49)</f>
        <v>0</v>
      </c>
      <c r="P88" s="16">
        <f>IF($A88="",0,IFERROR(INDEX(P_DomPoids,MATCH($B88,P_DomCodes,0)),0))</f>
        <v>0</v>
      </c>
      <c r="Q88" s="16">
        <f>P88*G88</f>
        <v>0</v>
      </c>
      <c r="R88" s="8">
        <f>IF(J88,IF(ISNUMBER(SEARCH(","&amp;D88&amp;",",","&amp;R87&amp;",")),R87,R87&amp;IF(R87="","",",")&amp;D88),R87)</f>
        <v>0</v>
      </c>
      <c r="S88" s="8">
        <f>IF(I88,S87&amp;IF(S87="","",", ")&amp;A88,S87)</f>
        <v>0</v>
      </c>
    </row>
    <row r="89" spans="1:19">
      <c r="A89" s="8">
        <f>IF(P_Criteres!A50="","",P_Criteres!A50)</f>
        <v>0</v>
      </c>
      <c r="B89" s="8">
        <f>IF($A89="","",P_Criteres!B50)</f>
        <v>0</v>
      </c>
      <c r="C89" s="8">
        <f>IF($A89="","",P_Criteres!C50)</f>
        <v>0</v>
      </c>
      <c r="D89" s="8">
        <f>IF($A89="","",P_Criteres!F50)</f>
        <v>0</v>
      </c>
      <c r="E89" s="8">
        <f>IF($A89="","",IFERROR(INDEX(In_Retenue,MATCH($D89,In_Cles,0)),""))</f>
        <v>0</v>
      </c>
      <c r="F89" s="16">
        <f>IF($A89="",0,ROUND(MIN(P_Scale,MAX(0,IF($L89=0,$K89,$M89))),2))</f>
        <v>0</v>
      </c>
      <c r="G89" s="16">
        <f>IF($A89="",0,P_Criteres!E50)</f>
        <v>0</v>
      </c>
      <c r="H89" s="16">
        <f>ROUND(F89*G89,2)</f>
        <v>0</v>
      </c>
      <c r="I89" s="8">
        <f>IF($A89="",FALSE,AND(P_Criteres!G50="Oui",ISNUMBER(P_Criteres!H50),F89&lt;=N(P_Criteres!H50)))</f>
        <v>0</v>
      </c>
      <c r="J89" s="8">
        <f>IF($A89="",FALSE,AND(OR(P_Criteres!G50="Oui",P_Criteres!K50="Oui"),$E89=""))</f>
        <v>0</v>
      </c>
      <c r="K89" s="16">
        <f t="array" ref="K89">IF($A89="",0,MIN(IF(P_Baremes!$A$5:$A$400=$A89,P_Baremes!$H$5:$H$400)))</f>
        <v>0</v>
      </c>
      <c r="L89" s="16">
        <f>IF($A89="",0,IF($O89="NUM",IF(ISNUMBER($E89),SUMPRODUCT((P_Baremes!$A$5:$A$400=$A89)*(P_Baremes!$B$5:$B$400="PLAGE")*(((P_Baremes!$D$5:$D$400="")+($E89&gt;=P_Baremes!$D$5:$D$400))&gt;0)*(((P_Baremes!$E$5:$E$400="")+($E89&lt;P_Baremes!$E$5:$E$400))&gt;0)),0),SUMPRODUCT((P_Baremes!$A$5:$A$400=$A89)*(P_Baremes!$B$5:$B$400="MODALITE")*(P_Baremes!$C$5:$C$400=$E89))))</f>
        <v>0</v>
      </c>
      <c r="M89" s="16">
        <f>IF($A89="",0,IF($L89=0,0,IF($O89="NUM",SUMPRODUCT((P_Baremes!$A$5:$A$400=$A89)*(P_Baremes!$B$5:$B$400="PLAGE")*(((P_Baremes!$D$5:$D$400="")+($E89&gt;=P_Baremes!$D$5:$D$400))&gt;0)*(((P_Baremes!$E$5:$E$400="")+($E89&lt;P_Baremes!$E$5:$E$400))&gt;0)*P_Baremes!$H$5:$H$400),SUMPRODUCT((P_Baremes!$A$5:$A$400=$A89)*(P_Baremes!$B$5:$B$400="MODALITE")*(P_Baremes!$C$5:$C$400=$E89)*P_Baremes!$H$5:$H$400))))</f>
        <v>0</v>
      </c>
      <c r="N89" s="8">
        <f>IF($A89="","",P_Criteres!J50)</f>
        <v>0</v>
      </c>
      <c r="O89" s="8">
        <f>IF($A89="","",P_Criteres!D50)</f>
        <v>0</v>
      </c>
      <c r="P89" s="16">
        <f>IF($A89="",0,IFERROR(INDEX(P_DomPoids,MATCH($B89,P_DomCodes,0)),0))</f>
        <v>0</v>
      </c>
      <c r="Q89" s="16">
        <f>P89*G89</f>
        <v>0</v>
      </c>
      <c r="R89" s="8">
        <f>IF(J89,IF(ISNUMBER(SEARCH(","&amp;D89&amp;",",","&amp;R88&amp;",")),R88,R88&amp;IF(R88="","",",")&amp;D89),R88)</f>
        <v>0</v>
      </c>
      <c r="S89" s="8">
        <f>IF(I89,S88&amp;IF(S88="","",", ")&amp;A89,S88)</f>
        <v>0</v>
      </c>
    </row>
    <row r="90" spans="1:19">
      <c r="A90" s="8">
        <f>IF(P_Criteres!A51="","",P_Criteres!A51)</f>
        <v>0</v>
      </c>
      <c r="B90" s="8">
        <f>IF($A90="","",P_Criteres!B51)</f>
        <v>0</v>
      </c>
      <c r="C90" s="8">
        <f>IF($A90="","",P_Criteres!C51)</f>
        <v>0</v>
      </c>
      <c r="D90" s="8">
        <f>IF($A90="","",P_Criteres!F51)</f>
        <v>0</v>
      </c>
      <c r="E90" s="8">
        <f>IF($A90="","",IFERROR(INDEX(In_Retenue,MATCH($D90,In_Cles,0)),""))</f>
        <v>0</v>
      </c>
      <c r="F90" s="16">
        <f>IF($A90="",0,ROUND(MIN(P_Scale,MAX(0,IF($L90=0,$K90,$M90))),2))</f>
        <v>0</v>
      </c>
      <c r="G90" s="16">
        <f>IF($A90="",0,P_Criteres!E51)</f>
        <v>0</v>
      </c>
      <c r="H90" s="16">
        <f>ROUND(F90*G90,2)</f>
        <v>0</v>
      </c>
      <c r="I90" s="8">
        <f>IF($A90="",FALSE,AND(P_Criteres!G51="Oui",ISNUMBER(P_Criteres!H51),F90&lt;=N(P_Criteres!H51)))</f>
        <v>0</v>
      </c>
      <c r="J90" s="8">
        <f>IF($A90="",FALSE,AND(OR(P_Criteres!G51="Oui",P_Criteres!K51="Oui"),$E90=""))</f>
        <v>0</v>
      </c>
      <c r="K90" s="16">
        <f t="array" ref="K90">IF($A90="",0,MIN(IF(P_Baremes!$A$5:$A$400=$A90,P_Baremes!$H$5:$H$400)))</f>
        <v>0</v>
      </c>
      <c r="L90" s="16">
        <f>IF($A90="",0,IF($O90="NUM",IF(ISNUMBER($E90),SUMPRODUCT((P_Baremes!$A$5:$A$400=$A90)*(P_Baremes!$B$5:$B$400="PLAGE")*(((P_Baremes!$D$5:$D$400="")+($E90&gt;=P_Baremes!$D$5:$D$400))&gt;0)*(((P_Baremes!$E$5:$E$400="")+($E90&lt;P_Baremes!$E$5:$E$400))&gt;0)),0),SUMPRODUCT((P_Baremes!$A$5:$A$400=$A90)*(P_Baremes!$B$5:$B$400="MODALITE")*(P_Baremes!$C$5:$C$400=$E90))))</f>
        <v>0</v>
      </c>
      <c r="M90" s="16">
        <f>IF($A90="",0,IF($L90=0,0,IF($O90="NUM",SUMPRODUCT((P_Baremes!$A$5:$A$400=$A90)*(P_Baremes!$B$5:$B$400="PLAGE")*(((P_Baremes!$D$5:$D$400="")+($E90&gt;=P_Baremes!$D$5:$D$400))&gt;0)*(((P_Baremes!$E$5:$E$400="")+($E90&lt;P_Baremes!$E$5:$E$400))&gt;0)*P_Baremes!$H$5:$H$400),SUMPRODUCT((P_Baremes!$A$5:$A$400=$A90)*(P_Baremes!$B$5:$B$400="MODALITE")*(P_Baremes!$C$5:$C$400=$E90)*P_Baremes!$H$5:$H$400))))</f>
        <v>0</v>
      </c>
      <c r="N90" s="8">
        <f>IF($A90="","",P_Criteres!J51)</f>
        <v>0</v>
      </c>
      <c r="O90" s="8">
        <f>IF($A90="","",P_Criteres!D51)</f>
        <v>0</v>
      </c>
      <c r="P90" s="16">
        <f>IF($A90="",0,IFERROR(INDEX(P_DomPoids,MATCH($B90,P_DomCodes,0)),0))</f>
        <v>0</v>
      </c>
      <c r="Q90" s="16">
        <f>P90*G90</f>
        <v>0</v>
      </c>
      <c r="R90" s="8">
        <f>IF(J90,IF(ISNUMBER(SEARCH(","&amp;D90&amp;",",","&amp;R89&amp;",")),R89,R89&amp;IF(R89="","",",")&amp;D90),R89)</f>
        <v>0</v>
      </c>
      <c r="S90" s="8">
        <f>IF(I90,S89&amp;IF(S89="","",", ")&amp;A90,S89)</f>
        <v>0</v>
      </c>
    </row>
    <row r="91" spans="1:19">
      <c r="A91" s="8">
        <f>IF(P_Criteres!A52="","",P_Criteres!A52)</f>
        <v>0</v>
      </c>
      <c r="B91" s="8">
        <f>IF($A91="","",P_Criteres!B52)</f>
        <v>0</v>
      </c>
      <c r="C91" s="8">
        <f>IF($A91="","",P_Criteres!C52)</f>
        <v>0</v>
      </c>
      <c r="D91" s="8">
        <f>IF($A91="","",P_Criteres!F52)</f>
        <v>0</v>
      </c>
      <c r="E91" s="8">
        <f>IF($A91="","",IFERROR(INDEX(In_Retenue,MATCH($D91,In_Cles,0)),""))</f>
        <v>0</v>
      </c>
      <c r="F91" s="16">
        <f>IF($A91="",0,ROUND(MIN(P_Scale,MAX(0,IF($L91=0,$K91,$M91))),2))</f>
        <v>0</v>
      </c>
      <c r="G91" s="16">
        <f>IF($A91="",0,P_Criteres!E52)</f>
        <v>0</v>
      </c>
      <c r="H91" s="16">
        <f>ROUND(F91*G91,2)</f>
        <v>0</v>
      </c>
      <c r="I91" s="8">
        <f>IF($A91="",FALSE,AND(P_Criteres!G52="Oui",ISNUMBER(P_Criteres!H52),F91&lt;=N(P_Criteres!H52)))</f>
        <v>0</v>
      </c>
      <c r="J91" s="8">
        <f>IF($A91="",FALSE,AND(OR(P_Criteres!G52="Oui",P_Criteres!K52="Oui"),$E91=""))</f>
        <v>0</v>
      </c>
      <c r="K91" s="16">
        <f t="array" ref="K91">IF($A91="",0,MIN(IF(P_Baremes!$A$5:$A$400=$A91,P_Baremes!$H$5:$H$400)))</f>
        <v>0</v>
      </c>
      <c r="L91" s="16">
        <f>IF($A91="",0,IF($O91="NUM",IF(ISNUMBER($E91),SUMPRODUCT((P_Baremes!$A$5:$A$400=$A91)*(P_Baremes!$B$5:$B$400="PLAGE")*(((P_Baremes!$D$5:$D$400="")+($E91&gt;=P_Baremes!$D$5:$D$400))&gt;0)*(((P_Baremes!$E$5:$E$400="")+($E91&lt;P_Baremes!$E$5:$E$400))&gt;0)),0),SUMPRODUCT((P_Baremes!$A$5:$A$400=$A91)*(P_Baremes!$B$5:$B$400="MODALITE")*(P_Baremes!$C$5:$C$400=$E91))))</f>
        <v>0</v>
      </c>
      <c r="M91" s="16">
        <f>IF($A91="",0,IF($L91=0,0,IF($O91="NUM",SUMPRODUCT((P_Baremes!$A$5:$A$400=$A91)*(P_Baremes!$B$5:$B$400="PLAGE")*(((P_Baremes!$D$5:$D$400="")+($E91&gt;=P_Baremes!$D$5:$D$400))&gt;0)*(((P_Baremes!$E$5:$E$400="")+($E91&lt;P_Baremes!$E$5:$E$400))&gt;0)*P_Baremes!$H$5:$H$400),SUMPRODUCT((P_Baremes!$A$5:$A$400=$A91)*(P_Baremes!$B$5:$B$400="MODALITE")*(P_Baremes!$C$5:$C$400=$E91)*P_Baremes!$H$5:$H$400))))</f>
        <v>0</v>
      </c>
      <c r="N91" s="8">
        <f>IF($A91="","",P_Criteres!J52)</f>
        <v>0</v>
      </c>
      <c r="O91" s="8">
        <f>IF($A91="","",P_Criteres!D52)</f>
        <v>0</v>
      </c>
      <c r="P91" s="16">
        <f>IF($A91="",0,IFERROR(INDEX(P_DomPoids,MATCH($B91,P_DomCodes,0)),0))</f>
        <v>0</v>
      </c>
      <c r="Q91" s="16">
        <f>P91*G91</f>
        <v>0</v>
      </c>
      <c r="R91" s="8">
        <f>IF(J91,IF(ISNUMBER(SEARCH(","&amp;D91&amp;",",","&amp;R90&amp;",")),R90,R90&amp;IF(R90="","",",")&amp;D91),R90)</f>
        <v>0</v>
      </c>
      <c r="S91" s="8">
        <f>IF(I91,S90&amp;IF(S90="","",", ")&amp;A91,S90)</f>
        <v>0</v>
      </c>
    </row>
    <row r="92" spans="1:19">
      <c r="A92" s="8">
        <f>IF(P_Criteres!A53="","",P_Criteres!A53)</f>
        <v>0</v>
      </c>
      <c r="B92" s="8">
        <f>IF($A92="","",P_Criteres!B53)</f>
        <v>0</v>
      </c>
      <c r="C92" s="8">
        <f>IF($A92="","",P_Criteres!C53)</f>
        <v>0</v>
      </c>
      <c r="D92" s="8">
        <f>IF($A92="","",P_Criteres!F53)</f>
        <v>0</v>
      </c>
      <c r="E92" s="8">
        <f>IF($A92="","",IFERROR(INDEX(In_Retenue,MATCH($D92,In_Cles,0)),""))</f>
        <v>0</v>
      </c>
      <c r="F92" s="16">
        <f>IF($A92="",0,ROUND(MIN(P_Scale,MAX(0,IF($L92=0,$K92,$M92))),2))</f>
        <v>0</v>
      </c>
      <c r="G92" s="16">
        <f>IF($A92="",0,P_Criteres!E53)</f>
        <v>0</v>
      </c>
      <c r="H92" s="16">
        <f>ROUND(F92*G92,2)</f>
        <v>0</v>
      </c>
      <c r="I92" s="8">
        <f>IF($A92="",FALSE,AND(P_Criteres!G53="Oui",ISNUMBER(P_Criteres!H53),F92&lt;=N(P_Criteres!H53)))</f>
        <v>0</v>
      </c>
      <c r="J92" s="8">
        <f>IF($A92="",FALSE,AND(OR(P_Criteres!G53="Oui",P_Criteres!K53="Oui"),$E92=""))</f>
        <v>0</v>
      </c>
      <c r="K92" s="16">
        <f t="array" ref="K92">IF($A92="",0,MIN(IF(P_Baremes!$A$5:$A$400=$A92,P_Baremes!$H$5:$H$400)))</f>
        <v>0</v>
      </c>
      <c r="L92" s="16">
        <f>IF($A92="",0,IF($O92="NUM",IF(ISNUMBER($E92),SUMPRODUCT((P_Baremes!$A$5:$A$400=$A92)*(P_Baremes!$B$5:$B$400="PLAGE")*(((P_Baremes!$D$5:$D$400="")+($E92&gt;=P_Baremes!$D$5:$D$400))&gt;0)*(((P_Baremes!$E$5:$E$400="")+($E92&lt;P_Baremes!$E$5:$E$400))&gt;0)),0),SUMPRODUCT((P_Baremes!$A$5:$A$400=$A92)*(P_Baremes!$B$5:$B$400="MODALITE")*(P_Baremes!$C$5:$C$400=$E92))))</f>
        <v>0</v>
      </c>
      <c r="M92" s="16">
        <f>IF($A92="",0,IF($L92=0,0,IF($O92="NUM",SUMPRODUCT((P_Baremes!$A$5:$A$400=$A92)*(P_Baremes!$B$5:$B$400="PLAGE")*(((P_Baremes!$D$5:$D$400="")+($E92&gt;=P_Baremes!$D$5:$D$400))&gt;0)*(((P_Baremes!$E$5:$E$400="")+($E92&lt;P_Baremes!$E$5:$E$400))&gt;0)*P_Baremes!$H$5:$H$400),SUMPRODUCT((P_Baremes!$A$5:$A$400=$A92)*(P_Baremes!$B$5:$B$400="MODALITE")*(P_Baremes!$C$5:$C$400=$E92)*P_Baremes!$H$5:$H$400))))</f>
        <v>0</v>
      </c>
      <c r="N92" s="8">
        <f>IF($A92="","",P_Criteres!J53)</f>
        <v>0</v>
      </c>
      <c r="O92" s="8">
        <f>IF($A92="","",P_Criteres!D53)</f>
        <v>0</v>
      </c>
      <c r="P92" s="16">
        <f>IF($A92="",0,IFERROR(INDEX(P_DomPoids,MATCH($B92,P_DomCodes,0)),0))</f>
        <v>0</v>
      </c>
      <c r="Q92" s="16">
        <f>P92*G92</f>
        <v>0</v>
      </c>
      <c r="R92" s="8">
        <f>IF(J92,IF(ISNUMBER(SEARCH(","&amp;D92&amp;",",","&amp;R91&amp;",")),R91,R91&amp;IF(R91="","",",")&amp;D92),R91)</f>
        <v>0</v>
      </c>
      <c r="S92" s="8">
        <f>IF(I92,S91&amp;IF(S91="","",", ")&amp;A92,S91)</f>
        <v>0</v>
      </c>
    </row>
    <row r="93" spans="1:19">
      <c r="A93" s="8">
        <f>IF(P_Criteres!A54="","",P_Criteres!A54)</f>
        <v>0</v>
      </c>
      <c r="B93" s="8">
        <f>IF($A93="","",P_Criteres!B54)</f>
        <v>0</v>
      </c>
      <c r="C93" s="8">
        <f>IF($A93="","",P_Criteres!C54)</f>
        <v>0</v>
      </c>
      <c r="D93" s="8">
        <f>IF($A93="","",P_Criteres!F54)</f>
        <v>0</v>
      </c>
      <c r="E93" s="8">
        <f>IF($A93="","",IFERROR(INDEX(In_Retenue,MATCH($D93,In_Cles,0)),""))</f>
        <v>0</v>
      </c>
      <c r="F93" s="16">
        <f>IF($A93="",0,ROUND(MIN(P_Scale,MAX(0,IF($L93=0,$K93,$M93))),2))</f>
        <v>0</v>
      </c>
      <c r="G93" s="16">
        <f>IF($A93="",0,P_Criteres!E54)</f>
        <v>0</v>
      </c>
      <c r="H93" s="16">
        <f>ROUND(F93*G93,2)</f>
        <v>0</v>
      </c>
      <c r="I93" s="8">
        <f>IF($A93="",FALSE,AND(P_Criteres!G54="Oui",ISNUMBER(P_Criteres!H54),F93&lt;=N(P_Criteres!H54)))</f>
        <v>0</v>
      </c>
      <c r="J93" s="8">
        <f>IF($A93="",FALSE,AND(OR(P_Criteres!G54="Oui",P_Criteres!K54="Oui"),$E93=""))</f>
        <v>0</v>
      </c>
      <c r="K93" s="16">
        <f t="array" ref="K93">IF($A93="",0,MIN(IF(P_Baremes!$A$5:$A$400=$A93,P_Baremes!$H$5:$H$400)))</f>
        <v>0</v>
      </c>
      <c r="L93" s="16">
        <f>IF($A93="",0,IF($O93="NUM",IF(ISNUMBER($E93),SUMPRODUCT((P_Baremes!$A$5:$A$400=$A93)*(P_Baremes!$B$5:$B$400="PLAGE")*(((P_Baremes!$D$5:$D$400="")+($E93&gt;=P_Baremes!$D$5:$D$400))&gt;0)*(((P_Baremes!$E$5:$E$400="")+($E93&lt;P_Baremes!$E$5:$E$400))&gt;0)),0),SUMPRODUCT((P_Baremes!$A$5:$A$400=$A93)*(P_Baremes!$B$5:$B$400="MODALITE")*(P_Baremes!$C$5:$C$400=$E93))))</f>
        <v>0</v>
      </c>
      <c r="M93" s="16">
        <f>IF($A93="",0,IF($L93=0,0,IF($O93="NUM",SUMPRODUCT((P_Baremes!$A$5:$A$400=$A93)*(P_Baremes!$B$5:$B$400="PLAGE")*(((P_Baremes!$D$5:$D$400="")+($E93&gt;=P_Baremes!$D$5:$D$400))&gt;0)*(((P_Baremes!$E$5:$E$400="")+($E93&lt;P_Baremes!$E$5:$E$400))&gt;0)*P_Baremes!$H$5:$H$400),SUMPRODUCT((P_Baremes!$A$5:$A$400=$A93)*(P_Baremes!$B$5:$B$400="MODALITE")*(P_Baremes!$C$5:$C$400=$E93)*P_Baremes!$H$5:$H$400))))</f>
        <v>0</v>
      </c>
      <c r="N93" s="8">
        <f>IF($A93="","",P_Criteres!J54)</f>
        <v>0</v>
      </c>
      <c r="O93" s="8">
        <f>IF($A93="","",P_Criteres!D54)</f>
        <v>0</v>
      </c>
      <c r="P93" s="16">
        <f>IF($A93="",0,IFERROR(INDEX(P_DomPoids,MATCH($B93,P_DomCodes,0)),0))</f>
        <v>0</v>
      </c>
      <c r="Q93" s="16">
        <f>P93*G93</f>
        <v>0</v>
      </c>
      <c r="R93" s="8">
        <f>IF(J93,IF(ISNUMBER(SEARCH(","&amp;D93&amp;",",","&amp;R92&amp;",")),R92,R92&amp;IF(R92="","",",")&amp;D93),R92)</f>
        <v>0</v>
      </c>
      <c r="S93" s="8">
        <f>IF(I93,S92&amp;IF(S92="","",", ")&amp;A93,S92)</f>
        <v>0</v>
      </c>
    </row>
    <row r="94" spans="1:19">
      <c r="A94" s="8">
        <f>IF(P_Criteres!A55="","",P_Criteres!A55)</f>
        <v>0</v>
      </c>
      <c r="B94" s="8">
        <f>IF($A94="","",P_Criteres!B55)</f>
        <v>0</v>
      </c>
      <c r="C94" s="8">
        <f>IF($A94="","",P_Criteres!C55)</f>
        <v>0</v>
      </c>
      <c r="D94" s="8">
        <f>IF($A94="","",P_Criteres!F55)</f>
        <v>0</v>
      </c>
      <c r="E94" s="8">
        <f>IF($A94="","",IFERROR(INDEX(In_Retenue,MATCH($D94,In_Cles,0)),""))</f>
        <v>0</v>
      </c>
      <c r="F94" s="16">
        <f>IF($A94="",0,ROUND(MIN(P_Scale,MAX(0,IF($L94=0,$K94,$M94))),2))</f>
        <v>0</v>
      </c>
      <c r="G94" s="16">
        <f>IF($A94="",0,P_Criteres!E55)</f>
        <v>0</v>
      </c>
      <c r="H94" s="16">
        <f>ROUND(F94*G94,2)</f>
        <v>0</v>
      </c>
      <c r="I94" s="8">
        <f>IF($A94="",FALSE,AND(P_Criteres!G55="Oui",ISNUMBER(P_Criteres!H55),F94&lt;=N(P_Criteres!H55)))</f>
        <v>0</v>
      </c>
      <c r="J94" s="8">
        <f>IF($A94="",FALSE,AND(OR(P_Criteres!G55="Oui",P_Criteres!K55="Oui"),$E94=""))</f>
        <v>0</v>
      </c>
      <c r="K94" s="16">
        <f t="array" ref="K94">IF($A94="",0,MIN(IF(P_Baremes!$A$5:$A$400=$A94,P_Baremes!$H$5:$H$400)))</f>
        <v>0</v>
      </c>
      <c r="L94" s="16">
        <f>IF($A94="",0,IF($O94="NUM",IF(ISNUMBER($E94),SUMPRODUCT((P_Baremes!$A$5:$A$400=$A94)*(P_Baremes!$B$5:$B$400="PLAGE")*(((P_Baremes!$D$5:$D$400="")+($E94&gt;=P_Baremes!$D$5:$D$400))&gt;0)*(((P_Baremes!$E$5:$E$400="")+($E94&lt;P_Baremes!$E$5:$E$400))&gt;0)),0),SUMPRODUCT((P_Baremes!$A$5:$A$400=$A94)*(P_Baremes!$B$5:$B$400="MODALITE")*(P_Baremes!$C$5:$C$400=$E94))))</f>
        <v>0</v>
      </c>
      <c r="M94" s="16">
        <f>IF($A94="",0,IF($L94=0,0,IF($O94="NUM",SUMPRODUCT((P_Baremes!$A$5:$A$400=$A94)*(P_Baremes!$B$5:$B$400="PLAGE")*(((P_Baremes!$D$5:$D$400="")+($E94&gt;=P_Baremes!$D$5:$D$400))&gt;0)*(((P_Baremes!$E$5:$E$400="")+($E94&lt;P_Baremes!$E$5:$E$400))&gt;0)*P_Baremes!$H$5:$H$400),SUMPRODUCT((P_Baremes!$A$5:$A$400=$A94)*(P_Baremes!$B$5:$B$400="MODALITE")*(P_Baremes!$C$5:$C$400=$E94)*P_Baremes!$H$5:$H$400))))</f>
        <v>0</v>
      </c>
      <c r="N94" s="8">
        <f>IF($A94="","",P_Criteres!J55)</f>
        <v>0</v>
      </c>
      <c r="O94" s="8">
        <f>IF($A94="","",P_Criteres!D55)</f>
        <v>0</v>
      </c>
      <c r="P94" s="16">
        <f>IF($A94="",0,IFERROR(INDEX(P_DomPoids,MATCH($B94,P_DomCodes,0)),0))</f>
        <v>0</v>
      </c>
      <c r="Q94" s="16">
        <f>P94*G94</f>
        <v>0</v>
      </c>
      <c r="R94" s="8">
        <f>IF(J94,IF(ISNUMBER(SEARCH(","&amp;D94&amp;",",","&amp;R93&amp;",")),R93,R93&amp;IF(R93="","",",")&amp;D94),R93)</f>
        <v>0</v>
      </c>
      <c r="S94" s="8">
        <f>IF(I94,S93&amp;IF(S93="","",", ")&amp;A94,S93)</f>
        <v>0</v>
      </c>
    </row>
    <row r="95" spans="1:19">
      <c r="A95" s="8">
        <f>IF(P_Criteres!A56="","",P_Criteres!A56)</f>
        <v>0</v>
      </c>
      <c r="B95" s="8">
        <f>IF($A95="","",P_Criteres!B56)</f>
        <v>0</v>
      </c>
      <c r="C95" s="8">
        <f>IF($A95="","",P_Criteres!C56)</f>
        <v>0</v>
      </c>
      <c r="D95" s="8">
        <f>IF($A95="","",P_Criteres!F56)</f>
        <v>0</v>
      </c>
      <c r="E95" s="8">
        <f>IF($A95="","",IFERROR(INDEX(In_Retenue,MATCH($D95,In_Cles,0)),""))</f>
        <v>0</v>
      </c>
      <c r="F95" s="16">
        <f>IF($A95="",0,ROUND(MIN(P_Scale,MAX(0,IF($L95=0,$K95,$M95))),2))</f>
        <v>0</v>
      </c>
      <c r="G95" s="16">
        <f>IF($A95="",0,P_Criteres!E56)</f>
        <v>0</v>
      </c>
      <c r="H95" s="16">
        <f>ROUND(F95*G95,2)</f>
        <v>0</v>
      </c>
      <c r="I95" s="8">
        <f>IF($A95="",FALSE,AND(P_Criteres!G56="Oui",ISNUMBER(P_Criteres!H56),F95&lt;=N(P_Criteres!H56)))</f>
        <v>0</v>
      </c>
      <c r="J95" s="8">
        <f>IF($A95="",FALSE,AND(OR(P_Criteres!G56="Oui",P_Criteres!K56="Oui"),$E95=""))</f>
        <v>0</v>
      </c>
      <c r="K95" s="16">
        <f t="array" ref="K95">IF($A95="",0,MIN(IF(P_Baremes!$A$5:$A$400=$A95,P_Baremes!$H$5:$H$400)))</f>
        <v>0</v>
      </c>
      <c r="L95" s="16">
        <f>IF($A95="",0,IF($O95="NUM",IF(ISNUMBER($E95),SUMPRODUCT((P_Baremes!$A$5:$A$400=$A95)*(P_Baremes!$B$5:$B$400="PLAGE")*(((P_Baremes!$D$5:$D$400="")+($E95&gt;=P_Baremes!$D$5:$D$400))&gt;0)*(((P_Baremes!$E$5:$E$400="")+($E95&lt;P_Baremes!$E$5:$E$400))&gt;0)),0),SUMPRODUCT((P_Baremes!$A$5:$A$400=$A95)*(P_Baremes!$B$5:$B$400="MODALITE")*(P_Baremes!$C$5:$C$400=$E95))))</f>
        <v>0</v>
      </c>
      <c r="M95" s="16">
        <f>IF($A95="",0,IF($L95=0,0,IF($O95="NUM",SUMPRODUCT((P_Baremes!$A$5:$A$400=$A95)*(P_Baremes!$B$5:$B$400="PLAGE")*(((P_Baremes!$D$5:$D$400="")+($E95&gt;=P_Baremes!$D$5:$D$400))&gt;0)*(((P_Baremes!$E$5:$E$400="")+($E95&lt;P_Baremes!$E$5:$E$400))&gt;0)*P_Baremes!$H$5:$H$400),SUMPRODUCT((P_Baremes!$A$5:$A$400=$A95)*(P_Baremes!$B$5:$B$400="MODALITE")*(P_Baremes!$C$5:$C$400=$E95)*P_Baremes!$H$5:$H$400))))</f>
        <v>0</v>
      </c>
      <c r="N95" s="8">
        <f>IF($A95="","",P_Criteres!J56)</f>
        <v>0</v>
      </c>
      <c r="O95" s="8">
        <f>IF($A95="","",P_Criteres!D56)</f>
        <v>0</v>
      </c>
      <c r="P95" s="16">
        <f>IF($A95="",0,IFERROR(INDEX(P_DomPoids,MATCH($B95,P_DomCodes,0)),0))</f>
        <v>0</v>
      </c>
      <c r="Q95" s="16">
        <f>P95*G95</f>
        <v>0</v>
      </c>
      <c r="R95" s="8">
        <f>IF(J95,IF(ISNUMBER(SEARCH(","&amp;D95&amp;",",","&amp;R94&amp;",")),R94,R94&amp;IF(R94="","",",")&amp;D95),R94)</f>
        <v>0</v>
      </c>
      <c r="S95" s="8">
        <f>IF(I95,S94&amp;IF(S94="","",", ")&amp;A95,S94)</f>
        <v>0</v>
      </c>
    </row>
    <row r="96" spans="1:19">
      <c r="A96" s="8">
        <f>IF(P_Criteres!A57="","",P_Criteres!A57)</f>
        <v>0</v>
      </c>
      <c r="B96" s="8">
        <f>IF($A96="","",P_Criteres!B57)</f>
        <v>0</v>
      </c>
      <c r="C96" s="8">
        <f>IF($A96="","",P_Criteres!C57)</f>
        <v>0</v>
      </c>
      <c r="D96" s="8">
        <f>IF($A96="","",P_Criteres!F57)</f>
        <v>0</v>
      </c>
      <c r="E96" s="8">
        <f>IF($A96="","",IFERROR(INDEX(In_Retenue,MATCH($D96,In_Cles,0)),""))</f>
        <v>0</v>
      </c>
      <c r="F96" s="16">
        <f>IF($A96="",0,ROUND(MIN(P_Scale,MAX(0,IF($L96=0,$K96,$M96))),2))</f>
        <v>0</v>
      </c>
      <c r="G96" s="16">
        <f>IF($A96="",0,P_Criteres!E57)</f>
        <v>0</v>
      </c>
      <c r="H96" s="16">
        <f>ROUND(F96*G96,2)</f>
        <v>0</v>
      </c>
      <c r="I96" s="8">
        <f>IF($A96="",FALSE,AND(P_Criteres!G57="Oui",ISNUMBER(P_Criteres!H57),F96&lt;=N(P_Criteres!H57)))</f>
        <v>0</v>
      </c>
      <c r="J96" s="8">
        <f>IF($A96="",FALSE,AND(OR(P_Criteres!G57="Oui",P_Criteres!K57="Oui"),$E96=""))</f>
        <v>0</v>
      </c>
      <c r="K96" s="16">
        <f t="array" ref="K96">IF($A96="",0,MIN(IF(P_Baremes!$A$5:$A$400=$A96,P_Baremes!$H$5:$H$400)))</f>
        <v>0</v>
      </c>
      <c r="L96" s="16">
        <f>IF($A96="",0,IF($O96="NUM",IF(ISNUMBER($E96),SUMPRODUCT((P_Baremes!$A$5:$A$400=$A96)*(P_Baremes!$B$5:$B$400="PLAGE")*(((P_Baremes!$D$5:$D$400="")+($E96&gt;=P_Baremes!$D$5:$D$400))&gt;0)*(((P_Baremes!$E$5:$E$400="")+($E96&lt;P_Baremes!$E$5:$E$400))&gt;0)),0),SUMPRODUCT((P_Baremes!$A$5:$A$400=$A96)*(P_Baremes!$B$5:$B$400="MODALITE")*(P_Baremes!$C$5:$C$400=$E96))))</f>
        <v>0</v>
      </c>
      <c r="M96" s="16">
        <f>IF($A96="",0,IF($L96=0,0,IF($O96="NUM",SUMPRODUCT((P_Baremes!$A$5:$A$400=$A96)*(P_Baremes!$B$5:$B$400="PLAGE")*(((P_Baremes!$D$5:$D$400="")+($E96&gt;=P_Baremes!$D$5:$D$400))&gt;0)*(((P_Baremes!$E$5:$E$400="")+($E96&lt;P_Baremes!$E$5:$E$400))&gt;0)*P_Baremes!$H$5:$H$400),SUMPRODUCT((P_Baremes!$A$5:$A$400=$A96)*(P_Baremes!$B$5:$B$400="MODALITE")*(P_Baremes!$C$5:$C$400=$E96)*P_Baremes!$H$5:$H$400))))</f>
        <v>0</v>
      </c>
      <c r="N96" s="8">
        <f>IF($A96="","",P_Criteres!J57)</f>
        <v>0</v>
      </c>
      <c r="O96" s="8">
        <f>IF($A96="","",P_Criteres!D57)</f>
        <v>0</v>
      </c>
      <c r="P96" s="16">
        <f>IF($A96="",0,IFERROR(INDEX(P_DomPoids,MATCH($B96,P_DomCodes,0)),0))</f>
        <v>0</v>
      </c>
      <c r="Q96" s="16">
        <f>P96*G96</f>
        <v>0</v>
      </c>
      <c r="R96" s="8">
        <f>IF(J96,IF(ISNUMBER(SEARCH(","&amp;D96&amp;",",","&amp;R95&amp;",")),R95,R95&amp;IF(R95="","",",")&amp;D96),R95)</f>
        <v>0</v>
      </c>
      <c r="S96" s="8">
        <f>IF(I96,S95&amp;IF(S95="","",", ")&amp;A96,S95)</f>
        <v>0</v>
      </c>
    </row>
    <row r="97" spans="1:19">
      <c r="A97" s="8">
        <f>IF(P_Criteres!A58="","",P_Criteres!A58)</f>
        <v>0</v>
      </c>
      <c r="B97" s="8">
        <f>IF($A97="","",P_Criteres!B58)</f>
        <v>0</v>
      </c>
      <c r="C97" s="8">
        <f>IF($A97="","",P_Criteres!C58)</f>
        <v>0</v>
      </c>
      <c r="D97" s="8">
        <f>IF($A97="","",P_Criteres!F58)</f>
        <v>0</v>
      </c>
      <c r="E97" s="8">
        <f>IF($A97="","",IFERROR(INDEX(In_Retenue,MATCH($D97,In_Cles,0)),""))</f>
        <v>0</v>
      </c>
      <c r="F97" s="16">
        <f>IF($A97="",0,ROUND(MIN(P_Scale,MAX(0,IF($L97=0,$K97,$M97))),2))</f>
        <v>0</v>
      </c>
      <c r="G97" s="16">
        <f>IF($A97="",0,P_Criteres!E58)</f>
        <v>0</v>
      </c>
      <c r="H97" s="16">
        <f>ROUND(F97*G97,2)</f>
        <v>0</v>
      </c>
      <c r="I97" s="8">
        <f>IF($A97="",FALSE,AND(P_Criteres!G58="Oui",ISNUMBER(P_Criteres!H58),F97&lt;=N(P_Criteres!H58)))</f>
        <v>0</v>
      </c>
      <c r="J97" s="8">
        <f>IF($A97="",FALSE,AND(OR(P_Criteres!G58="Oui",P_Criteres!K58="Oui"),$E97=""))</f>
        <v>0</v>
      </c>
      <c r="K97" s="16">
        <f t="array" ref="K97">IF($A97="",0,MIN(IF(P_Baremes!$A$5:$A$400=$A97,P_Baremes!$H$5:$H$400)))</f>
        <v>0</v>
      </c>
      <c r="L97" s="16">
        <f>IF($A97="",0,IF($O97="NUM",IF(ISNUMBER($E97),SUMPRODUCT((P_Baremes!$A$5:$A$400=$A97)*(P_Baremes!$B$5:$B$400="PLAGE")*(((P_Baremes!$D$5:$D$400="")+($E97&gt;=P_Baremes!$D$5:$D$400))&gt;0)*(((P_Baremes!$E$5:$E$400="")+($E97&lt;P_Baremes!$E$5:$E$400))&gt;0)),0),SUMPRODUCT((P_Baremes!$A$5:$A$400=$A97)*(P_Baremes!$B$5:$B$400="MODALITE")*(P_Baremes!$C$5:$C$400=$E97))))</f>
        <v>0</v>
      </c>
      <c r="M97" s="16">
        <f>IF($A97="",0,IF($L97=0,0,IF($O97="NUM",SUMPRODUCT((P_Baremes!$A$5:$A$400=$A97)*(P_Baremes!$B$5:$B$400="PLAGE")*(((P_Baremes!$D$5:$D$400="")+($E97&gt;=P_Baremes!$D$5:$D$400))&gt;0)*(((P_Baremes!$E$5:$E$400="")+($E97&lt;P_Baremes!$E$5:$E$400))&gt;0)*P_Baremes!$H$5:$H$400),SUMPRODUCT((P_Baremes!$A$5:$A$400=$A97)*(P_Baremes!$B$5:$B$400="MODALITE")*(P_Baremes!$C$5:$C$400=$E97)*P_Baremes!$H$5:$H$400))))</f>
        <v>0</v>
      </c>
      <c r="N97" s="8">
        <f>IF($A97="","",P_Criteres!J58)</f>
        <v>0</v>
      </c>
      <c r="O97" s="8">
        <f>IF($A97="","",P_Criteres!D58)</f>
        <v>0</v>
      </c>
      <c r="P97" s="16">
        <f>IF($A97="",0,IFERROR(INDEX(P_DomPoids,MATCH($B97,P_DomCodes,0)),0))</f>
        <v>0</v>
      </c>
      <c r="Q97" s="16">
        <f>P97*G97</f>
        <v>0</v>
      </c>
      <c r="R97" s="8">
        <f>IF(J97,IF(ISNUMBER(SEARCH(","&amp;D97&amp;",",","&amp;R96&amp;",")),R96,R96&amp;IF(R96="","",",")&amp;D97),R96)</f>
        <v>0</v>
      </c>
      <c r="S97" s="8">
        <f>IF(I97,S96&amp;IF(S96="","",", ")&amp;A97,S96)</f>
        <v>0</v>
      </c>
    </row>
    <row r="98" spans="1:19">
      <c r="A98" s="8">
        <f>IF(P_Criteres!A59="","",P_Criteres!A59)</f>
        <v>0</v>
      </c>
      <c r="B98" s="8">
        <f>IF($A98="","",P_Criteres!B59)</f>
        <v>0</v>
      </c>
      <c r="C98" s="8">
        <f>IF($A98="","",P_Criteres!C59)</f>
        <v>0</v>
      </c>
      <c r="D98" s="8">
        <f>IF($A98="","",P_Criteres!F59)</f>
        <v>0</v>
      </c>
      <c r="E98" s="8">
        <f>IF($A98="","",IFERROR(INDEX(In_Retenue,MATCH($D98,In_Cles,0)),""))</f>
        <v>0</v>
      </c>
      <c r="F98" s="16">
        <f>IF($A98="",0,ROUND(MIN(P_Scale,MAX(0,IF($L98=0,$K98,$M98))),2))</f>
        <v>0</v>
      </c>
      <c r="G98" s="16">
        <f>IF($A98="",0,P_Criteres!E59)</f>
        <v>0</v>
      </c>
      <c r="H98" s="16">
        <f>ROUND(F98*G98,2)</f>
        <v>0</v>
      </c>
      <c r="I98" s="8">
        <f>IF($A98="",FALSE,AND(P_Criteres!G59="Oui",ISNUMBER(P_Criteres!H59),F98&lt;=N(P_Criteres!H59)))</f>
        <v>0</v>
      </c>
      <c r="J98" s="8">
        <f>IF($A98="",FALSE,AND(OR(P_Criteres!G59="Oui",P_Criteres!K59="Oui"),$E98=""))</f>
        <v>0</v>
      </c>
      <c r="K98" s="16">
        <f t="array" ref="K98">IF($A98="",0,MIN(IF(P_Baremes!$A$5:$A$400=$A98,P_Baremes!$H$5:$H$400)))</f>
        <v>0</v>
      </c>
      <c r="L98" s="16">
        <f>IF($A98="",0,IF($O98="NUM",IF(ISNUMBER($E98),SUMPRODUCT((P_Baremes!$A$5:$A$400=$A98)*(P_Baremes!$B$5:$B$400="PLAGE")*(((P_Baremes!$D$5:$D$400="")+($E98&gt;=P_Baremes!$D$5:$D$400))&gt;0)*(((P_Baremes!$E$5:$E$400="")+($E98&lt;P_Baremes!$E$5:$E$400))&gt;0)),0),SUMPRODUCT((P_Baremes!$A$5:$A$400=$A98)*(P_Baremes!$B$5:$B$400="MODALITE")*(P_Baremes!$C$5:$C$400=$E98))))</f>
        <v>0</v>
      </c>
      <c r="M98" s="16">
        <f>IF($A98="",0,IF($L98=0,0,IF($O98="NUM",SUMPRODUCT((P_Baremes!$A$5:$A$400=$A98)*(P_Baremes!$B$5:$B$400="PLAGE")*(((P_Baremes!$D$5:$D$400="")+($E98&gt;=P_Baremes!$D$5:$D$400))&gt;0)*(((P_Baremes!$E$5:$E$400="")+($E98&lt;P_Baremes!$E$5:$E$400))&gt;0)*P_Baremes!$H$5:$H$400),SUMPRODUCT((P_Baremes!$A$5:$A$400=$A98)*(P_Baremes!$B$5:$B$400="MODALITE")*(P_Baremes!$C$5:$C$400=$E98)*P_Baremes!$H$5:$H$400))))</f>
        <v>0</v>
      </c>
      <c r="N98" s="8">
        <f>IF($A98="","",P_Criteres!J59)</f>
        <v>0</v>
      </c>
      <c r="O98" s="8">
        <f>IF($A98="","",P_Criteres!D59)</f>
        <v>0</v>
      </c>
      <c r="P98" s="16">
        <f>IF($A98="",0,IFERROR(INDEX(P_DomPoids,MATCH($B98,P_DomCodes,0)),0))</f>
        <v>0</v>
      </c>
      <c r="Q98" s="16">
        <f>P98*G98</f>
        <v>0</v>
      </c>
      <c r="R98" s="8">
        <f>IF(J98,IF(ISNUMBER(SEARCH(","&amp;D98&amp;",",","&amp;R97&amp;",")),R97,R97&amp;IF(R97="","",",")&amp;D98),R97)</f>
        <v>0</v>
      </c>
      <c r="S98" s="8">
        <f>IF(I98,S97&amp;IF(S97="","",", ")&amp;A98,S97)</f>
        <v>0</v>
      </c>
    </row>
    <row r="99" spans="1:19">
      <c r="A99" s="8">
        <f>IF(P_Criteres!A60="","",P_Criteres!A60)</f>
        <v>0</v>
      </c>
      <c r="B99" s="8">
        <f>IF($A99="","",P_Criteres!B60)</f>
        <v>0</v>
      </c>
      <c r="C99" s="8">
        <f>IF($A99="","",P_Criteres!C60)</f>
        <v>0</v>
      </c>
      <c r="D99" s="8">
        <f>IF($A99="","",P_Criteres!F60)</f>
        <v>0</v>
      </c>
      <c r="E99" s="8">
        <f>IF($A99="","",IFERROR(INDEX(In_Retenue,MATCH($D99,In_Cles,0)),""))</f>
        <v>0</v>
      </c>
      <c r="F99" s="16">
        <f>IF($A99="",0,ROUND(MIN(P_Scale,MAX(0,IF($L99=0,$K99,$M99))),2))</f>
        <v>0</v>
      </c>
      <c r="G99" s="16">
        <f>IF($A99="",0,P_Criteres!E60)</f>
        <v>0</v>
      </c>
      <c r="H99" s="16">
        <f>ROUND(F99*G99,2)</f>
        <v>0</v>
      </c>
      <c r="I99" s="8">
        <f>IF($A99="",FALSE,AND(P_Criteres!G60="Oui",ISNUMBER(P_Criteres!H60),F99&lt;=N(P_Criteres!H60)))</f>
        <v>0</v>
      </c>
      <c r="J99" s="8">
        <f>IF($A99="",FALSE,AND(OR(P_Criteres!G60="Oui",P_Criteres!K60="Oui"),$E99=""))</f>
        <v>0</v>
      </c>
      <c r="K99" s="16">
        <f t="array" ref="K99">IF($A99="",0,MIN(IF(P_Baremes!$A$5:$A$400=$A99,P_Baremes!$H$5:$H$400)))</f>
        <v>0</v>
      </c>
      <c r="L99" s="16">
        <f>IF($A99="",0,IF($O99="NUM",IF(ISNUMBER($E99),SUMPRODUCT((P_Baremes!$A$5:$A$400=$A99)*(P_Baremes!$B$5:$B$400="PLAGE")*(((P_Baremes!$D$5:$D$400="")+($E99&gt;=P_Baremes!$D$5:$D$400))&gt;0)*(((P_Baremes!$E$5:$E$400="")+($E99&lt;P_Baremes!$E$5:$E$400))&gt;0)),0),SUMPRODUCT((P_Baremes!$A$5:$A$400=$A99)*(P_Baremes!$B$5:$B$400="MODALITE")*(P_Baremes!$C$5:$C$400=$E99))))</f>
        <v>0</v>
      </c>
      <c r="M99" s="16">
        <f>IF($A99="",0,IF($L99=0,0,IF($O99="NUM",SUMPRODUCT((P_Baremes!$A$5:$A$400=$A99)*(P_Baremes!$B$5:$B$400="PLAGE")*(((P_Baremes!$D$5:$D$400="")+($E99&gt;=P_Baremes!$D$5:$D$400))&gt;0)*(((P_Baremes!$E$5:$E$400="")+($E99&lt;P_Baremes!$E$5:$E$400))&gt;0)*P_Baremes!$H$5:$H$400),SUMPRODUCT((P_Baremes!$A$5:$A$400=$A99)*(P_Baremes!$B$5:$B$400="MODALITE")*(P_Baremes!$C$5:$C$400=$E99)*P_Baremes!$H$5:$H$400))))</f>
        <v>0</v>
      </c>
      <c r="N99" s="8">
        <f>IF($A99="","",P_Criteres!J60)</f>
        <v>0</v>
      </c>
      <c r="O99" s="8">
        <f>IF($A99="","",P_Criteres!D60)</f>
        <v>0</v>
      </c>
      <c r="P99" s="16">
        <f>IF($A99="",0,IFERROR(INDEX(P_DomPoids,MATCH($B99,P_DomCodes,0)),0))</f>
        <v>0</v>
      </c>
      <c r="Q99" s="16">
        <f>P99*G99</f>
        <v>0</v>
      </c>
      <c r="R99" s="8">
        <f>IF(J99,IF(ISNUMBER(SEARCH(","&amp;D99&amp;",",","&amp;R98&amp;",")),R98,R98&amp;IF(R98="","",",")&amp;D99),R98)</f>
        <v>0</v>
      </c>
      <c r="S99" s="8">
        <f>IF(I99,S98&amp;IF(S98="","",", ")&amp;A99,S98)</f>
        <v>0</v>
      </c>
    </row>
    <row r="100" spans="1:19">
      <c r="A100" s="8">
        <f>IF(P_Criteres!A61="","",P_Criteres!A61)</f>
        <v>0</v>
      </c>
      <c r="B100" s="8">
        <f>IF($A100="","",P_Criteres!B61)</f>
        <v>0</v>
      </c>
      <c r="C100" s="8">
        <f>IF($A100="","",P_Criteres!C61)</f>
        <v>0</v>
      </c>
      <c r="D100" s="8">
        <f>IF($A100="","",P_Criteres!F61)</f>
        <v>0</v>
      </c>
      <c r="E100" s="8">
        <f>IF($A100="","",IFERROR(INDEX(In_Retenue,MATCH($D100,In_Cles,0)),""))</f>
        <v>0</v>
      </c>
      <c r="F100" s="16">
        <f>IF($A100="",0,ROUND(MIN(P_Scale,MAX(0,IF($L100=0,$K100,$M100))),2))</f>
        <v>0</v>
      </c>
      <c r="G100" s="16">
        <f>IF($A100="",0,P_Criteres!E61)</f>
        <v>0</v>
      </c>
      <c r="H100" s="16">
        <f>ROUND(F100*G100,2)</f>
        <v>0</v>
      </c>
      <c r="I100" s="8">
        <f>IF($A100="",FALSE,AND(P_Criteres!G61="Oui",ISNUMBER(P_Criteres!H61),F100&lt;=N(P_Criteres!H61)))</f>
        <v>0</v>
      </c>
      <c r="J100" s="8">
        <f>IF($A100="",FALSE,AND(OR(P_Criteres!G61="Oui",P_Criteres!K61="Oui"),$E100=""))</f>
        <v>0</v>
      </c>
      <c r="K100" s="16">
        <f t="array" ref="K100">IF($A100="",0,MIN(IF(P_Baremes!$A$5:$A$400=$A100,P_Baremes!$H$5:$H$400)))</f>
        <v>0</v>
      </c>
      <c r="L100" s="16">
        <f>IF($A100="",0,IF($O100="NUM",IF(ISNUMBER($E100),SUMPRODUCT((P_Baremes!$A$5:$A$400=$A100)*(P_Baremes!$B$5:$B$400="PLAGE")*(((P_Baremes!$D$5:$D$400="")+($E100&gt;=P_Baremes!$D$5:$D$400))&gt;0)*(((P_Baremes!$E$5:$E$400="")+($E100&lt;P_Baremes!$E$5:$E$400))&gt;0)),0),SUMPRODUCT((P_Baremes!$A$5:$A$400=$A100)*(P_Baremes!$B$5:$B$400="MODALITE")*(P_Baremes!$C$5:$C$400=$E100))))</f>
        <v>0</v>
      </c>
      <c r="M100" s="16">
        <f>IF($A100="",0,IF($L100=0,0,IF($O100="NUM",SUMPRODUCT((P_Baremes!$A$5:$A$400=$A100)*(P_Baremes!$B$5:$B$400="PLAGE")*(((P_Baremes!$D$5:$D$400="")+($E100&gt;=P_Baremes!$D$5:$D$400))&gt;0)*(((P_Baremes!$E$5:$E$400="")+($E100&lt;P_Baremes!$E$5:$E$400))&gt;0)*P_Baremes!$H$5:$H$400),SUMPRODUCT((P_Baremes!$A$5:$A$400=$A100)*(P_Baremes!$B$5:$B$400="MODALITE")*(P_Baremes!$C$5:$C$400=$E100)*P_Baremes!$H$5:$H$400))))</f>
        <v>0</v>
      </c>
      <c r="N100" s="8">
        <f>IF($A100="","",P_Criteres!J61)</f>
        <v>0</v>
      </c>
      <c r="O100" s="8">
        <f>IF($A100="","",P_Criteres!D61)</f>
        <v>0</v>
      </c>
      <c r="P100" s="16">
        <f>IF($A100="",0,IFERROR(INDEX(P_DomPoids,MATCH($B100,P_DomCodes,0)),0))</f>
        <v>0</v>
      </c>
      <c r="Q100" s="16">
        <f>P100*G100</f>
        <v>0</v>
      </c>
      <c r="R100" s="8">
        <f>IF(J100,IF(ISNUMBER(SEARCH(","&amp;D100&amp;",",","&amp;R99&amp;",")),R99,R99&amp;IF(R99="","",",")&amp;D100),R99)</f>
        <v>0</v>
      </c>
      <c r="S100" s="8">
        <f>IF(I100,S99&amp;IF(S99="","",", ")&amp;A100,S99)</f>
        <v>0</v>
      </c>
    </row>
    <row r="101" spans="1:19">
      <c r="A101" s="8">
        <f>IF(P_Criteres!A62="","",P_Criteres!A62)</f>
        <v>0</v>
      </c>
      <c r="B101" s="8">
        <f>IF($A101="","",P_Criteres!B62)</f>
        <v>0</v>
      </c>
      <c r="C101" s="8">
        <f>IF($A101="","",P_Criteres!C62)</f>
        <v>0</v>
      </c>
      <c r="D101" s="8">
        <f>IF($A101="","",P_Criteres!F62)</f>
        <v>0</v>
      </c>
      <c r="E101" s="8">
        <f>IF($A101="","",IFERROR(INDEX(In_Retenue,MATCH($D101,In_Cles,0)),""))</f>
        <v>0</v>
      </c>
      <c r="F101" s="16">
        <f>IF($A101="",0,ROUND(MIN(P_Scale,MAX(0,IF($L101=0,$K101,$M101))),2))</f>
        <v>0</v>
      </c>
      <c r="G101" s="16">
        <f>IF($A101="",0,P_Criteres!E62)</f>
        <v>0</v>
      </c>
      <c r="H101" s="16">
        <f>ROUND(F101*G101,2)</f>
        <v>0</v>
      </c>
      <c r="I101" s="8">
        <f>IF($A101="",FALSE,AND(P_Criteres!G62="Oui",ISNUMBER(P_Criteres!H62),F101&lt;=N(P_Criteres!H62)))</f>
        <v>0</v>
      </c>
      <c r="J101" s="8">
        <f>IF($A101="",FALSE,AND(OR(P_Criteres!G62="Oui",P_Criteres!K62="Oui"),$E101=""))</f>
        <v>0</v>
      </c>
      <c r="K101" s="16">
        <f t="array" ref="K101">IF($A101="",0,MIN(IF(P_Baremes!$A$5:$A$400=$A101,P_Baremes!$H$5:$H$400)))</f>
        <v>0</v>
      </c>
      <c r="L101" s="16">
        <f>IF($A101="",0,IF($O101="NUM",IF(ISNUMBER($E101),SUMPRODUCT((P_Baremes!$A$5:$A$400=$A101)*(P_Baremes!$B$5:$B$400="PLAGE")*(((P_Baremes!$D$5:$D$400="")+($E101&gt;=P_Baremes!$D$5:$D$400))&gt;0)*(((P_Baremes!$E$5:$E$400="")+($E101&lt;P_Baremes!$E$5:$E$400))&gt;0)),0),SUMPRODUCT((P_Baremes!$A$5:$A$400=$A101)*(P_Baremes!$B$5:$B$400="MODALITE")*(P_Baremes!$C$5:$C$400=$E101))))</f>
        <v>0</v>
      </c>
      <c r="M101" s="16">
        <f>IF($A101="",0,IF($L101=0,0,IF($O101="NUM",SUMPRODUCT((P_Baremes!$A$5:$A$400=$A101)*(P_Baremes!$B$5:$B$400="PLAGE")*(((P_Baremes!$D$5:$D$400="")+($E101&gt;=P_Baremes!$D$5:$D$400))&gt;0)*(((P_Baremes!$E$5:$E$400="")+($E101&lt;P_Baremes!$E$5:$E$400))&gt;0)*P_Baremes!$H$5:$H$400),SUMPRODUCT((P_Baremes!$A$5:$A$400=$A101)*(P_Baremes!$B$5:$B$400="MODALITE")*(P_Baremes!$C$5:$C$400=$E101)*P_Baremes!$H$5:$H$400))))</f>
        <v>0</v>
      </c>
      <c r="N101" s="8">
        <f>IF($A101="","",P_Criteres!J62)</f>
        <v>0</v>
      </c>
      <c r="O101" s="8">
        <f>IF($A101="","",P_Criteres!D62)</f>
        <v>0</v>
      </c>
      <c r="P101" s="16">
        <f>IF($A101="",0,IFERROR(INDEX(P_DomPoids,MATCH($B101,P_DomCodes,0)),0))</f>
        <v>0</v>
      </c>
      <c r="Q101" s="16">
        <f>P101*G101</f>
        <v>0</v>
      </c>
      <c r="R101" s="8">
        <f>IF(J101,IF(ISNUMBER(SEARCH(","&amp;D101&amp;",",","&amp;R100&amp;",")),R100,R100&amp;IF(R100="","",",")&amp;D101),R100)</f>
        <v>0</v>
      </c>
      <c r="S101" s="8">
        <f>IF(I101,S100&amp;IF(S100="","",", ")&amp;A101,S100)</f>
        <v>0</v>
      </c>
    </row>
    <row r="102" spans="1:19">
      <c r="A102" s="8">
        <f>IF(P_Criteres!A63="","",P_Criteres!A63)</f>
        <v>0</v>
      </c>
      <c r="B102" s="8">
        <f>IF($A102="","",P_Criteres!B63)</f>
        <v>0</v>
      </c>
      <c r="C102" s="8">
        <f>IF($A102="","",P_Criteres!C63)</f>
        <v>0</v>
      </c>
      <c r="D102" s="8">
        <f>IF($A102="","",P_Criteres!F63)</f>
        <v>0</v>
      </c>
      <c r="E102" s="8">
        <f>IF($A102="","",IFERROR(INDEX(In_Retenue,MATCH($D102,In_Cles,0)),""))</f>
        <v>0</v>
      </c>
      <c r="F102" s="16">
        <f>IF($A102="",0,ROUND(MIN(P_Scale,MAX(0,IF($L102=0,$K102,$M102))),2))</f>
        <v>0</v>
      </c>
      <c r="G102" s="16">
        <f>IF($A102="",0,P_Criteres!E63)</f>
        <v>0</v>
      </c>
      <c r="H102" s="16">
        <f>ROUND(F102*G102,2)</f>
        <v>0</v>
      </c>
      <c r="I102" s="8">
        <f>IF($A102="",FALSE,AND(P_Criteres!G63="Oui",ISNUMBER(P_Criteres!H63),F102&lt;=N(P_Criteres!H63)))</f>
        <v>0</v>
      </c>
      <c r="J102" s="8">
        <f>IF($A102="",FALSE,AND(OR(P_Criteres!G63="Oui",P_Criteres!K63="Oui"),$E102=""))</f>
        <v>0</v>
      </c>
      <c r="K102" s="16">
        <f t="array" ref="K102">IF($A102="",0,MIN(IF(P_Baremes!$A$5:$A$400=$A102,P_Baremes!$H$5:$H$400)))</f>
        <v>0</v>
      </c>
      <c r="L102" s="16">
        <f>IF($A102="",0,IF($O102="NUM",IF(ISNUMBER($E102),SUMPRODUCT((P_Baremes!$A$5:$A$400=$A102)*(P_Baremes!$B$5:$B$400="PLAGE")*(((P_Baremes!$D$5:$D$400="")+($E102&gt;=P_Baremes!$D$5:$D$400))&gt;0)*(((P_Baremes!$E$5:$E$400="")+($E102&lt;P_Baremes!$E$5:$E$400))&gt;0)),0),SUMPRODUCT((P_Baremes!$A$5:$A$400=$A102)*(P_Baremes!$B$5:$B$400="MODALITE")*(P_Baremes!$C$5:$C$400=$E102))))</f>
        <v>0</v>
      </c>
      <c r="M102" s="16">
        <f>IF($A102="",0,IF($L102=0,0,IF($O102="NUM",SUMPRODUCT((P_Baremes!$A$5:$A$400=$A102)*(P_Baremes!$B$5:$B$400="PLAGE")*(((P_Baremes!$D$5:$D$400="")+($E102&gt;=P_Baremes!$D$5:$D$400))&gt;0)*(((P_Baremes!$E$5:$E$400="")+($E102&lt;P_Baremes!$E$5:$E$400))&gt;0)*P_Baremes!$H$5:$H$400),SUMPRODUCT((P_Baremes!$A$5:$A$400=$A102)*(P_Baremes!$B$5:$B$400="MODALITE")*(P_Baremes!$C$5:$C$400=$E102)*P_Baremes!$H$5:$H$400))))</f>
        <v>0</v>
      </c>
      <c r="N102" s="8">
        <f>IF($A102="","",P_Criteres!J63)</f>
        <v>0</v>
      </c>
      <c r="O102" s="8">
        <f>IF($A102="","",P_Criteres!D63)</f>
        <v>0</v>
      </c>
      <c r="P102" s="16">
        <f>IF($A102="",0,IFERROR(INDEX(P_DomPoids,MATCH($B102,P_DomCodes,0)),0))</f>
        <v>0</v>
      </c>
      <c r="Q102" s="16">
        <f>P102*G102</f>
        <v>0</v>
      </c>
      <c r="R102" s="8">
        <f>IF(J102,IF(ISNUMBER(SEARCH(","&amp;D102&amp;",",","&amp;R101&amp;",")),R101,R101&amp;IF(R101="","",",")&amp;D102),R101)</f>
        <v>0</v>
      </c>
      <c r="S102" s="8">
        <f>IF(I102,S101&amp;IF(S101="","",", ")&amp;A102,S101)</f>
        <v>0</v>
      </c>
    </row>
    <row r="103" spans="1:19">
      <c r="A103" s="8">
        <f>IF(P_Criteres!A64="","",P_Criteres!A64)</f>
        <v>0</v>
      </c>
      <c r="B103" s="8">
        <f>IF($A103="","",P_Criteres!B64)</f>
        <v>0</v>
      </c>
      <c r="C103" s="8">
        <f>IF($A103="","",P_Criteres!C64)</f>
        <v>0</v>
      </c>
      <c r="D103" s="8">
        <f>IF($A103="","",P_Criteres!F64)</f>
        <v>0</v>
      </c>
      <c r="E103" s="8">
        <f>IF($A103="","",IFERROR(INDEX(In_Retenue,MATCH($D103,In_Cles,0)),""))</f>
        <v>0</v>
      </c>
      <c r="F103" s="16">
        <f>IF($A103="",0,ROUND(MIN(P_Scale,MAX(0,IF($L103=0,$K103,$M103))),2))</f>
        <v>0</v>
      </c>
      <c r="G103" s="16">
        <f>IF($A103="",0,P_Criteres!E64)</f>
        <v>0</v>
      </c>
      <c r="H103" s="16">
        <f>ROUND(F103*G103,2)</f>
        <v>0</v>
      </c>
      <c r="I103" s="8">
        <f>IF($A103="",FALSE,AND(P_Criteres!G64="Oui",ISNUMBER(P_Criteres!H64),F103&lt;=N(P_Criteres!H64)))</f>
        <v>0</v>
      </c>
      <c r="J103" s="8">
        <f>IF($A103="",FALSE,AND(OR(P_Criteres!G64="Oui",P_Criteres!K64="Oui"),$E103=""))</f>
        <v>0</v>
      </c>
      <c r="K103" s="16">
        <f t="array" ref="K103">IF($A103="",0,MIN(IF(P_Baremes!$A$5:$A$400=$A103,P_Baremes!$H$5:$H$400)))</f>
        <v>0</v>
      </c>
      <c r="L103" s="16">
        <f>IF($A103="",0,IF($O103="NUM",IF(ISNUMBER($E103),SUMPRODUCT((P_Baremes!$A$5:$A$400=$A103)*(P_Baremes!$B$5:$B$400="PLAGE")*(((P_Baremes!$D$5:$D$400="")+($E103&gt;=P_Baremes!$D$5:$D$400))&gt;0)*(((P_Baremes!$E$5:$E$400="")+($E103&lt;P_Baremes!$E$5:$E$400))&gt;0)),0),SUMPRODUCT((P_Baremes!$A$5:$A$400=$A103)*(P_Baremes!$B$5:$B$400="MODALITE")*(P_Baremes!$C$5:$C$400=$E103))))</f>
        <v>0</v>
      </c>
      <c r="M103" s="16">
        <f>IF($A103="",0,IF($L103=0,0,IF($O103="NUM",SUMPRODUCT((P_Baremes!$A$5:$A$400=$A103)*(P_Baremes!$B$5:$B$400="PLAGE")*(((P_Baremes!$D$5:$D$400="")+($E103&gt;=P_Baremes!$D$5:$D$400))&gt;0)*(((P_Baremes!$E$5:$E$400="")+($E103&lt;P_Baremes!$E$5:$E$400))&gt;0)*P_Baremes!$H$5:$H$400),SUMPRODUCT((P_Baremes!$A$5:$A$400=$A103)*(P_Baremes!$B$5:$B$400="MODALITE")*(P_Baremes!$C$5:$C$400=$E103)*P_Baremes!$H$5:$H$400))))</f>
        <v>0</v>
      </c>
      <c r="N103" s="8">
        <f>IF($A103="","",P_Criteres!J64)</f>
        <v>0</v>
      </c>
      <c r="O103" s="8">
        <f>IF($A103="","",P_Criteres!D64)</f>
        <v>0</v>
      </c>
      <c r="P103" s="16">
        <f>IF($A103="",0,IFERROR(INDEX(P_DomPoids,MATCH($B103,P_DomCodes,0)),0))</f>
        <v>0</v>
      </c>
      <c r="Q103" s="16">
        <f>P103*G103</f>
        <v>0</v>
      </c>
      <c r="R103" s="8">
        <f>IF(J103,IF(ISNUMBER(SEARCH(","&amp;D103&amp;",",","&amp;R102&amp;",")),R102,R102&amp;IF(R102="","",",")&amp;D103),R102)</f>
        <v>0</v>
      </c>
      <c r="S103" s="8">
        <f>IF(I103,S102&amp;IF(S102="","",", ")&amp;A103,S102)</f>
        <v>0</v>
      </c>
    </row>
    <row r="106" spans="1:19">
      <c r="A106" s="5" t="s">
        <v>589</v>
      </c>
    </row>
    <row r="107" spans="1:19">
      <c r="A107" s="10" t="s">
        <v>17</v>
      </c>
      <c r="B107" s="10" t="s">
        <v>29</v>
      </c>
      <c r="C107" s="10" t="s">
        <v>308</v>
      </c>
      <c r="D107" s="10" t="s">
        <v>311</v>
      </c>
      <c r="E107" s="10" t="s">
        <v>576</v>
      </c>
      <c r="F107" s="10" t="s">
        <v>3</v>
      </c>
      <c r="G107" s="10" t="s">
        <v>312</v>
      </c>
      <c r="H107" s="10" t="s">
        <v>590</v>
      </c>
      <c r="I107" s="10" t="s">
        <v>591</v>
      </c>
      <c r="J107" s="10" t="s">
        <v>592</v>
      </c>
      <c r="K107" s="10" t="s">
        <v>313</v>
      </c>
      <c r="L107" s="10" t="s">
        <v>593</v>
      </c>
      <c r="M107" s="10" t="s">
        <v>586</v>
      </c>
      <c r="N107" s="10" t="s">
        <v>594</v>
      </c>
    </row>
    <row r="108" spans="1:19">
      <c r="A108" s="8">
        <f>IF(P_Alertes!A5="","",P_Alertes!A5)</f>
        <v>0</v>
      </c>
      <c r="B108" s="8">
        <f>IF($A108="","",P_Alertes!B5)</f>
        <v>0</v>
      </c>
      <c r="C108" s="8">
        <f>IF($A108="","",P_Alertes!C5)</f>
        <v>0</v>
      </c>
      <c r="D108" s="8">
        <f>IF($A108="","",P_Alertes!G5)</f>
        <v>0</v>
      </c>
      <c r="E108" s="8">
        <f>IF($A108="","",P_Alertes!F5)</f>
        <v>0</v>
      </c>
      <c r="F108" s="8">
        <f>IF($A108="","",IFERROR(INDEX(In_Retenue,MATCH($E108,In_Cles,0)),""))</f>
        <v>0</v>
      </c>
      <c r="G108" s="8">
        <f>IF($A108="","",IF(P_Alertes!H5="","",P_Alertes!H5))</f>
        <v>0</v>
      </c>
      <c r="H108" s="8">
        <f>IF($A108="",FALSE,IF(D108="isTrue",F108=TRUE,IF(D108="isFalse",F108=FALSE,IF(D108="eq",F108=G108,IF(D108="neq",F108&lt;&gt;G108,IF(D108="gt",AND(ISNUMBER(F108),ISNUMBER(G108),N(F108)&gt;N(G108)),IF(D108="gte",AND(ISNUMBER(F108),ISNUMBER(G108),N(F108)&gt;=N(G108)),IF(D108="lt",AND(ISNUMBER(F108),ISNUMBER(G108),N(F108)&lt;N(G108)),IF(D108="lte",AND(ISNUMBER(F108),ISNUMBER(G108),N(F108)&lt;=N(G108)),FALSE)))))))))</f>
        <v>0</v>
      </c>
      <c r="I108" s="8">
        <f>IF($A108="",FALSE,AND(NOT(H108),C108&lt;&gt;"BLOCKING",L108))</f>
        <v>0</v>
      </c>
      <c r="J108" s="16">
        <f>IF(OR(H108,I108),N(P_Alertes!D5),0)</f>
        <v>0</v>
      </c>
      <c r="K108" s="8">
        <f>IF($A108="",FALSE,AND(OR(H108,I108),P_Alertes!I5="Oui"))</f>
        <v>0</v>
      </c>
      <c r="L108" s="8">
        <f>IF($A108="",FALSE,AND(OR(D108="gt",D108="gte",D108="lt",D108="lte"),F108=""))</f>
        <v>0</v>
      </c>
      <c r="M108" s="8">
        <f>IF(L108,IF(ISNUMBER(SEARCH(","&amp;E108&amp;",",","&amp;R103&amp;",")),R103,R103&amp;IF(R103="","",",")&amp;E108),R103)</f>
        <v>0</v>
      </c>
      <c r="N108" s="8">
        <f>IF(OR(H108,I108),""&amp;IF(""="","",", ")&amp;A108,"")</f>
        <v>0</v>
      </c>
    </row>
    <row r="109" spans="1:19">
      <c r="A109" s="8">
        <f>IF(P_Alertes!A6="","",P_Alertes!A6)</f>
        <v>0</v>
      </c>
      <c r="B109" s="8">
        <f>IF($A109="","",P_Alertes!B6)</f>
        <v>0</v>
      </c>
      <c r="C109" s="8">
        <f>IF($A109="","",P_Alertes!C6)</f>
        <v>0</v>
      </c>
      <c r="D109" s="8">
        <f>IF($A109="","",P_Alertes!G6)</f>
        <v>0</v>
      </c>
      <c r="E109" s="8">
        <f>IF($A109="","",P_Alertes!F6)</f>
        <v>0</v>
      </c>
      <c r="F109" s="8">
        <f>IF($A109="","",IFERROR(INDEX(In_Retenue,MATCH($E109,In_Cles,0)),""))</f>
        <v>0</v>
      </c>
      <c r="G109" s="8">
        <f>IF($A109="","",IF(P_Alertes!H6="","",P_Alertes!H6))</f>
        <v>0</v>
      </c>
      <c r="H109" s="8">
        <f>IF($A109="",FALSE,IF(D109="isTrue",F109=TRUE,IF(D109="isFalse",F109=FALSE,IF(D109="eq",F109=G109,IF(D109="neq",F109&lt;&gt;G109,IF(D109="gt",AND(ISNUMBER(F109),ISNUMBER(G109),N(F109)&gt;N(G109)),IF(D109="gte",AND(ISNUMBER(F109),ISNUMBER(G109),N(F109)&gt;=N(G109)),IF(D109="lt",AND(ISNUMBER(F109),ISNUMBER(G109),N(F109)&lt;N(G109)),IF(D109="lte",AND(ISNUMBER(F109),ISNUMBER(G109),N(F109)&lt;=N(G109)),FALSE)))))))))</f>
        <v>0</v>
      </c>
      <c r="I109" s="8">
        <f>IF($A109="",FALSE,AND(NOT(H109),C109&lt;&gt;"BLOCKING",L109))</f>
        <v>0</v>
      </c>
      <c r="J109" s="16">
        <f>IF(OR(H109,I109),N(P_Alertes!D6),0)</f>
        <v>0</v>
      </c>
      <c r="K109" s="8">
        <f>IF($A109="",FALSE,AND(OR(H109,I109),P_Alertes!I6="Oui"))</f>
        <v>0</v>
      </c>
      <c r="L109" s="8">
        <f>IF($A109="",FALSE,AND(OR(D109="gt",D109="gte",D109="lt",D109="lte"),F109=""))</f>
        <v>0</v>
      </c>
      <c r="M109" s="8">
        <f>IF(L109,IF(ISNUMBER(SEARCH(","&amp;E109&amp;",",","&amp;M108&amp;",")),M108,M108&amp;IF(M108="","",",")&amp;E109),M108)</f>
        <v>0</v>
      </c>
      <c r="N109" s="8">
        <f>IF(OR(H109,I109),N108&amp;IF(N108="","",", ")&amp;A109,N108)</f>
        <v>0</v>
      </c>
    </row>
    <row r="110" spans="1:19">
      <c r="A110" s="8">
        <f>IF(P_Alertes!A7="","",P_Alertes!A7)</f>
        <v>0</v>
      </c>
      <c r="B110" s="8">
        <f>IF($A110="","",P_Alertes!B7)</f>
        <v>0</v>
      </c>
      <c r="C110" s="8">
        <f>IF($A110="","",P_Alertes!C7)</f>
        <v>0</v>
      </c>
      <c r="D110" s="8">
        <f>IF($A110="","",P_Alertes!G7)</f>
        <v>0</v>
      </c>
      <c r="E110" s="8">
        <f>IF($A110="","",P_Alertes!F7)</f>
        <v>0</v>
      </c>
      <c r="F110" s="8">
        <f>IF($A110="","",IFERROR(INDEX(In_Retenue,MATCH($E110,In_Cles,0)),""))</f>
        <v>0</v>
      </c>
      <c r="G110" s="8">
        <f>IF($A110="","",IF(P_Alertes!H7="","",P_Alertes!H7))</f>
        <v>0</v>
      </c>
      <c r="H110" s="8">
        <f>IF($A110="",FALSE,IF(D110="isTrue",F110=TRUE,IF(D110="isFalse",F110=FALSE,IF(D110="eq",F110=G110,IF(D110="neq",F110&lt;&gt;G110,IF(D110="gt",AND(ISNUMBER(F110),ISNUMBER(G110),N(F110)&gt;N(G110)),IF(D110="gte",AND(ISNUMBER(F110),ISNUMBER(G110),N(F110)&gt;=N(G110)),IF(D110="lt",AND(ISNUMBER(F110),ISNUMBER(G110),N(F110)&lt;N(G110)),IF(D110="lte",AND(ISNUMBER(F110),ISNUMBER(G110),N(F110)&lt;=N(G110)),FALSE)))))))))</f>
        <v>0</v>
      </c>
      <c r="I110" s="8">
        <f>IF($A110="",FALSE,AND(NOT(H110),C110&lt;&gt;"BLOCKING",L110))</f>
        <v>0</v>
      </c>
      <c r="J110" s="16">
        <f>IF(OR(H110,I110),N(P_Alertes!D7),0)</f>
        <v>0</v>
      </c>
      <c r="K110" s="8">
        <f>IF($A110="",FALSE,AND(OR(H110,I110),P_Alertes!I7="Oui"))</f>
        <v>0</v>
      </c>
      <c r="L110" s="8">
        <f>IF($A110="",FALSE,AND(OR(D110="gt",D110="gte",D110="lt",D110="lte"),F110=""))</f>
        <v>0</v>
      </c>
      <c r="M110" s="8">
        <f>IF(L110,IF(ISNUMBER(SEARCH(","&amp;E110&amp;",",","&amp;M109&amp;",")),M109,M109&amp;IF(M109="","",",")&amp;E110),M109)</f>
        <v>0</v>
      </c>
      <c r="N110" s="8">
        <f>IF(OR(H110,I110),N109&amp;IF(N109="","",", ")&amp;A110,N109)</f>
        <v>0</v>
      </c>
    </row>
    <row r="111" spans="1:19">
      <c r="A111" s="8">
        <f>IF(P_Alertes!A8="","",P_Alertes!A8)</f>
        <v>0</v>
      </c>
      <c r="B111" s="8">
        <f>IF($A111="","",P_Alertes!B8)</f>
        <v>0</v>
      </c>
      <c r="C111" s="8">
        <f>IF($A111="","",P_Alertes!C8)</f>
        <v>0</v>
      </c>
      <c r="D111" s="8">
        <f>IF($A111="","",P_Alertes!G8)</f>
        <v>0</v>
      </c>
      <c r="E111" s="8">
        <f>IF($A111="","",P_Alertes!F8)</f>
        <v>0</v>
      </c>
      <c r="F111" s="8">
        <f>IF($A111="","",IFERROR(INDEX(In_Retenue,MATCH($E111,In_Cles,0)),""))</f>
        <v>0</v>
      </c>
      <c r="G111" s="8">
        <f>IF($A111="","",IF(P_Alertes!H8="","",P_Alertes!H8))</f>
        <v>0</v>
      </c>
      <c r="H111" s="8">
        <f>IF($A111="",FALSE,IF(D111="isTrue",F111=TRUE,IF(D111="isFalse",F111=FALSE,IF(D111="eq",F111=G111,IF(D111="neq",F111&lt;&gt;G111,IF(D111="gt",AND(ISNUMBER(F111),ISNUMBER(G111),N(F111)&gt;N(G111)),IF(D111="gte",AND(ISNUMBER(F111),ISNUMBER(G111),N(F111)&gt;=N(G111)),IF(D111="lt",AND(ISNUMBER(F111),ISNUMBER(G111),N(F111)&lt;N(G111)),IF(D111="lte",AND(ISNUMBER(F111),ISNUMBER(G111),N(F111)&lt;=N(G111)),FALSE)))))))))</f>
        <v>0</v>
      </c>
      <c r="I111" s="8">
        <f>IF($A111="",FALSE,AND(NOT(H111),C111&lt;&gt;"BLOCKING",L111))</f>
        <v>0</v>
      </c>
      <c r="J111" s="16">
        <f>IF(OR(H111,I111),N(P_Alertes!D8),0)</f>
        <v>0</v>
      </c>
      <c r="K111" s="8">
        <f>IF($A111="",FALSE,AND(OR(H111,I111),P_Alertes!I8="Oui"))</f>
        <v>0</v>
      </c>
      <c r="L111" s="8">
        <f>IF($A111="",FALSE,AND(OR(D111="gt",D111="gte",D111="lt",D111="lte"),F111=""))</f>
        <v>0</v>
      </c>
      <c r="M111" s="8">
        <f>IF(L111,IF(ISNUMBER(SEARCH(","&amp;E111&amp;",",","&amp;M110&amp;",")),M110,M110&amp;IF(M110="","",",")&amp;E111),M110)</f>
        <v>0</v>
      </c>
      <c r="N111" s="8">
        <f>IF(OR(H111,I111),N110&amp;IF(N110="","",", ")&amp;A111,N110)</f>
        <v>0</v>
      </c>
    </row>
    <row r="112" spans="1:19">
      <c r="A112" s="8">
        <f>IF(P_Alertes!A9="","",P_Alertes!A9)</f>
        <v>0</v>
      </c>
      <c r="B112" s="8">
        <f>IF($A112="","",P_Alertes!B9)</f>
        <v>0</v>
      </c>
      <c r="C112" s="8">
        <f>IF($A112="","",P_Alertes!C9)</f>
        <v>0</v>
      </c>
      <c r="D112" s="8">
        <f>IF($A112="","",P_Alertes!G9)</f>
        <v>0</v>
      </c>
      <c r="E112" s="8">
        <f>IF($A112="","",P_Alertes!F9)</f>
        <v>0</v>
      </c>
      <c r="F112" s="8">
        <f>IF($A112="","",IFERROR(INDEX(In_Retenue,MATCH($E112,In_Cles,0)),""))</f>
        <v>0</v>
      </c>
      <c r="G112" s="8">
        <f>IF($A112="","",IF(P_Alertes!H9="","",P_Alertes!H9))</f>
        <v>0</v>
      </c>
      <c r="H112" s="8">
        <f>IF($A112="",FALSE,IF(D112="isTrue",F112=TRUE,IF(D112="isFalse",F112=FALSE,IF(D112="eq",F112=G112,IF(D112="neq",F112&lt;&gt;G112,IF(D112="gt",AND(ISNUMBER(F112),ISNUMBER(G112),N(F112)&gt;N(G112)),IF(D112="gte",AND(ISNUMBER(F112),ISNUMBER(G112),N(F112)&gt;=N(G112)),IF(D112="lt",AND(ISNUMBER(F112),ISNUMBER(G112),N(F112)&lt;N(G112)),IF(D112="lte",AND(ISNUMBER(F112),ISNUMBER(G112),N(F112)&lt;=N(G112)),FALSE)))))))))</f>
        <v>0</v>
      </c>
      <c r="I112" s="8">
        <f>IF($A112="",FALSE,AND(NOT(H112),C112&lt;&gt;"BLOCKING",L112))</f>
        <v>0</v>
      </c>
      <c r="J112" s="16">
        <f>IF(OR(H112,I112),N(P_Alertes!D9),0)</f>
        <v>0</v>
      </c>
      <c r="K112" s="8">
        <f>IF($A112="",FALSE,AND(OR(H112,I112),P_Alertes!I9="Oui"))</f>
        <v>0</v>
      </c>
      <c r="L112" s="8">
        <f>IF($A112="",FALSE,AND(OR(D112="gt",D112="gte",D112="lt",D112="lte"),F112=""))</f>
        <v>0</v>
      </c>
      <c r="M112" s="8">
        <f>IF(L112,IF(ISNUMBER(SEARCH(","&amp;E112&amp;",",","&amp;M111&amp;",")),M111,M111&amp;IF(M111="","",",")&amp;E112),M111)</f>
        <v>0</v>
      </c>
      <c r="N112" s="8">
        <f>IF(OR(H112,I112),N111&amp;IF(N111="","",", ")&amp;A112,N111)</f>
        <v>0</v>
      </c>
    </row>
    <row r="113" spans="1:14">
      <c r="A113" s="8">
        <f>IF(P_Alertes!A10="","",P_Alertes!A10)</f>
        <v>0</v>
      </c>
      <c r="B113" s="8">
        <f>IF($A113="","",P_Alertes!B10)</f>
        <v>0</v>
      </c>
      <c r="C113" s="8">
        <f>IF($A113="","",P_Alertes!C10)</f>
        <v>0</v>
      </c>
      <c r="D113" s="8">
        <f>IF($A113="","",P_Alertes!G10)</f>
        <v>0</v>
      </c>
      <c r="E113" s="8">
        <f>IF($A113="","",P_Alertes!F10)</f>
        <v>0</v>
      </c>
      <c r="F113" s="8">
        <f>IF($A113="","",IFERROR(INDEX(In_Retenue,MATCH($E113,In_Cles,0)),""))</f>
        <v>0</v>
      </c>
      <c r="G113" s="8">
        <f>IF($A113="","",IF(P_Alertes!H10="","",P_Alertes!H10))</f>
        <v>0</v>
      </c>
      <c r="H113" s="8">
        <f>IF($A113="",FALSE,IF(D113="isTrue",F113=TRUE,IF(D113="isFalse",F113=FALSE,IF(D113="eq",F113=G113,IF(D113="neq",F113&lt;&gt;G113,IF(D113="gt",AND(ISNUMBER(F113),ISNUMBER(G113),N(F113)&gt;N(G113)),IF(D113="gte",AND(ISNUMBER(F113),ISNUMBER(G113),N(F113)&gt;=N(G113)),IF(D113="lt",AND(ISNUMBER(F113),ISNUMBER(G113),N(F113)&lt;N(G113)),IF(D113="lte",AND(ISNUMBER(F113),ISNUMBER(G113),N(F113)&lt;=N(G113)),FALSE)))))))))</f>
        <v>0</v>
      </c>
      <c r="I113" s="8">
        <f>IF($A113="",FALSE,AND(NOT(H113),C113&lt;&gt;"BLOCKING",L113))</f>
        <v>0</v>
      </c>
      <c r="J113" s="16">
        <f>IF(OR(H113,I113),N(P_Alertes!D10),0)</f>
        <v>0</v>
      </c>
      <c r="K113" s="8">
        <f>IF($A113="",FALSE,AND(OR(H113,I113),P_Alertes!I10="Oui"))</f>
        <v>0</v>
      </c>
      <c r="L113" s="8">
        <f>IF($A113="",FALSE,AND(OR(D113="gt",D113="gte",D113="lt",D113="lte"),F113=""))</f>
        <v>0</v>
      </c>
      <c r="M113" s="8">
        <f>IF(L113,IF(ISNUMBER(SEARCH(","&amp;E113&amp;",",","&amp;M112&amp;",")),M112,M112&amp;IF(M112="","",",")&amp;E113),M112)</f>
        <v>0</v>
      </c>
      <c r="N113" s="8">
        <f>IF(OR(H113,I113),N112&amp;IF(N112="","",", ")&amp;A113,N112)</f>
        <v>0</v>
      </c>
    </row>
    <row r="114" spans="1:14">
      <c r="A114" s="8">
        <f>IF(P_Alertes!A11="","",P_Alertes!A11)</f>
        <v>0</v>
      </c>
      <c r="B114" s="8">
        <f>IF($A114="","",P_Alertes!B11)</f>
        <v>0</v>
      </c>
      <c r="C114" s="8">
        <f>IF($A114="","",P_Alertes!C11)</f>
        <v>0</v>
      </c>
      <c r="D114" s="8">
        <f>IF($A114="","",P_Alertes!G11)</f>
        <v>0</v>
      </c>
      <c r="E114" s="8">
        <f>IF($A114="","",P_Alertes!F11)</f>
        <v>0</v>
      </c>
      <c r="F114" s="8">
        <f>IF($A114="","",IFERROR(INDEX(In_Retenue,MATCH($E114,In_Cles,0)),""))</f>
        <v>0</v>
      </c>
      <c r="G114" s="8">
        <f>IF($A114="","",IF(P_Alertes!H11="","",P_Alertes!H11))</f>
        <v>0</v>
      </c>
      <c r="H114" s="8">
        <f>IF($A114="",FALSE,IF(D114="isTrue",F114=TRUE,IF(D114="isFalse",F114=FALSE,IF(D114="eq",F114=G114,IF(D114="neq",F114&lt;&gt;G114,IF(D114="gt",AND(ISNUMBER(F114),ISNUMBER(G114),N(F114)&gt;N(G114)),IF(D114="gte",AND(ISNUMBER(F114),ISNUMBER(G114),N(F114)&gt;=N(G114)),IF(D114="lt",AND(ISNUMBER(F114),ISNUMBER(G114),N(F114)&lt;N(G114)),IF(D114="lte",AND(ISNUMBER(F114),ISNUMBER(G114),N(F114)&lt;=N(G114)),FALSE)))))))))</f>
        <v>0</v>
      </c>
      <c r="I114" s="8">
        <f>IF($A114="",FALSE,AND(NOT(H114),C114&lt;&gt;"BLOCKING",L114))</f>
        <v>0</v>
      </c>
      <c r="J114" s="16">
        <f>IF(OR(H114,I114),N(P_Alertes!D11),0)</f>
        <v>0</v>
      </c>
      <c r="K114" s="8">
        <f>IF($A114="",FALSE,AND(OR(H114,I114),P_Alertes!I11="Oui"))</f>
        <v>0</v>
      </c>
      <c r="L114" s="8">
        <f>IF($A114="",FALSE,AND(OR(D114="gt",D114="gte",D114="lt",D114="lte"),F114=""))</f>
        <v>0</v>
      </c>
      <c r="M114" s="8">
        <f>IF(L114,IF(ISNUMBER(SEARCH(","&amp;E114&amp;",",","&amp;M113&amp;",")),M113,M113&amp;IF(M113="","",",")&amp;E114),M113)</f>
        <v>0</v>
      </c>
      <c r="N114" s="8">
        <f>IF(OR(H114,I114),N113&amp;IF(N113="","",", ")&amp;A114,N113)</f>
        <v>0</v>
      </c>
    </row>
    <row r="115" spans="1:14">
      <c r="A115" s="8">
        <f>IF(P_Alertes!A12="","",P_Alertes!A12)</f>
        <v>0</v>
      </c>
      <c r="B115" s="8">
        <f>IF($A115="","",P_Alertes!B12)</f>
        <v>0</v>
      </c>
      <c r="C115" s="8">
        <f>IF($A115="","",P_Alertes!C12)</f>
        <v>0</v>
      </c>
      <c r="D115" s="8">
        <f>IF($A115="","",P_Alertes!G12)</f>
        <v>0</v>
      </c>
      <c r="E115" s="8">
        <f>IF($A115="","",P_Alertes!F12)</f>
        <v>0</v>
      </c>
      <c r="F115" s="8">
        <f>IF($A115="","",IFERROR(INDEX(In_Retenue,MATCH($E115,In_Cles,0)),""))</f>
        <v>0</v>
      </c>
      <c r="G115" s="8">
        <f>IF($A115="","",IF(P_Alertes!H12="","",P_Alertes!H12))</f>
        <v>0</v>
      </c>
      <c r="H115" s="8">
        <f>IF($A115="",FALSE,IF(D115="isTrue",F115=TRUE,IF(D115="isFalse",F115=FALSE,IF(D115="eq",F115=G115,IF(D115="neq",F115&lt;&gt;G115,IF(D115="gt",AND(ISNUMBER(F115),ISNUMBER(G115),N(F115)&gt;N(G115)),IF(D115="gte",AND(ISNUMBER(F115),ISNUMBER(G115),N(F115)&gt;=N(G115)),IF(D115="lt",AND(ISNUMBER(F115),ISNUMBER(G115),N(F115)&lt;N(G115)),IF(D115="lte",AND(ISNUMBER(F115),ISNUMBER(G115),N(F115)&lt;=N(G115)),FALSE)))))))))</f>
        <v>0</v>
      </c>
      <c r="I115" s="8">
        <f>IF($A115="",FALSE,AND(NOT(H115),C115&lt;&gt;"BLOCKING",L115))</f>
        <v>0</v>
      </c>
      <c r="J115" s="16">
        <f>IF(OR(H115,I115),N(P_Alertes!D12),0)</f>
        <v>0</v>
      </c>
      <c r="K115" s="8">
        <f>IF($A115="",FALSE,AND(OR(H115,I115),P_Alertes!I12="Oui"))</f>
        <v>0</v>
      </c>
      <c r="L115" s="8">
        <f>IF($A115="",FALSE,AND(OR(D115="gt",D115="gte",D115="lt",D115="lte"),F115=""))</f>
        <v>0</v>
      </c>
      <c r="M115" s="8">
        <f>IF(L115,IF(ISNUMBER(SEARCH(","&amp;E115&amp;",",","&amp;M114&amp;",")),M114,M114&amp;IF(M114="","",",")&amp;E115),M114)</f>
        <v>0</v>
      </c>
      <c r="N115" s="8">
        <f>IF(OR(H115,I115),N114&amp;IF(N114="","",", ")&amp;A115,N114)</f>
        <v>0</v>
      </c>
    </row>
    <row r="116" spans="1:14">
      <c r="A116" s="8">
        <f>IF(P_Alertes!A13="","",P_Alertes!A13)</f>
        <v>0</v>
      </c>
      <c r="B116" s="8">
        <f>IF($A116="","",P_Alertes!B13)</f>
        <v>0</v>
      </c>
      <c r="C116" s="8">
        <f>IF($A116="","",P_Alertes!C13)</f>
        <v>0</v>
      </c>
      <c r="D116" s="8">
        <f>IF($A116="","",P_Alertes!G13)</f>
        <v>0</v>
      </c>
      <c r="E116" s="8">
        <f>IF($A116="","",P_Alertes!F13)</f>
        <v>0</v>
      </c>
      <c r="F116" s="8">
        <f>IF($A116="","",IFERROR(INDEX(In_Retenue,MATCH($E116,In_Cles,0)),""))</f>
        <v>0</v>
      </c>
      <c r="G116" s="8">
        <f>IF($A116="","",IF(P_Alertes!H13="","",P_Alertes!H13))</f>
        <v>0</v>
      </c>
      <c r="H116" s="8">
        <f>IF($A116="",FALSE,IF(D116="isTrue",F116=TRUE,IF(D116="isFalse",F116=FALSE,IF(D116="eq",F116=G116,IF(D116="neq",F116&lt;&gt;G116,IF(D116="gt",AND(ISNUMBER(F116),ISNUMBER(G116),N(F116)&gt;N(G116)),IF(D116="gte",AND(ISNUMBER(F116),ISNUMBER(G116),N(F116)&gt;=N(G116)),IF(D116="lt",AND(ISNUMBER(F116),ISNUMBER(G116),N(F116)&lt;N(G116)),IF(D116="lte",AND(ISNUMBER(F116),ISNUMBER(G116),N(F116)&lt;=N(G116)),FALSE)))))))))</f>
        <v>0</v>
      </c>
      <c r="I116" s="8">
        <f>IF($A116="",FALSE,AND(NOT(H116),C116&lt;&gt;"BLOCKING",L116))</f>
        <v>0</v>
      </c>
      <c r="J116" s="16">
        <f>IF(OR(H116,I116),N(P_Alertes!D13),0)</f>
        <v>0</v>
      </c>
      <c r="K116" s="8">
        <f>IF($A116="",FALSE,AND(OR(H116,I116),P_Alertes!I13="Oui"))</f>
        <v>0</v>
      </c>
      <c r="L116" s="8">
        <f>IF($A116="",FALSE,AND(OR(D116="gt",D116="gte",D116="lt",D116="lte"),F116=""))</f>
        <v>0</v>
      </c>
      <c r="M116" s="8">
        <f>IF(L116,IF(ISNUMBER(SEARCH(","&amp;E116&amp;",",","&amp;M115&amp;",")),M115,M115&amp;IF(M115="","",",")&amp;E116),M115)</f>
        <v>0</v>
      </c>
      <c r="N116" s="8">
        <f>IF(OR(H116,I116),N115&amp;IF(N115="","",", ")&amp;A116,N115)</f>
        <v>0</v>
      </c>
    </row>
    <row r="117" spans="1:14">
      <c r="A117" s="8">
        <f>IF(P_Alertes!A14="","",P_Alertes!A14)</f>
        <v>0</v>
      </c>
      <c r="B117" s="8">
        <f>IF($A117="","",P_Alertes!B14)</f>
        <v>0</v>
      </c>
      <c r="C117" s="8">
        <f>IF($A117="","",P_Alertes!C14)</f>
        <v>0</v>
      </c>
      <c r="D117" s="8">
        <f>IF($A117="","",P_Alertes!G14)</f>
        <v>0</v>
      </c>
      <c r="E117" s="8">
        <f>IF($A117="","",P_Alertes!F14)</f>
        <v>0</v>
      </c>
      <c r="F117" s="8">
        <f>IF($A117="","",IFERROR(INDEX(In_Retenue,MATCH($E117,In_Cles,0)),""))</f>
        <v>0</v>
      </c>
      <c r="G117" s="8">
        <f>IF($A117="","",IF(P_Alertes!H14="","",P_Alertes!H14))</f>
        <v>0</v>
      </c>
      <c r="H117" s="8">
        <f>IF($A117="",FALSE,IF(D117="isTrue",F117=TRUE,IF(D117="isFalse",F117=FALSE,IF(D117="eq",F117=G117,IF(D117="neq",F117&lt;&gt;G117,IF(D117="gt",AND(ISNUMBER(F117),ISNUMBER(G117),N(F117)&gt;N(G117)),IF(D117="gte",AND(ISNUMBER(F117),ISNUMBER(G117),N(F117)&gt;=N(G117)),IF(D117="lt",AND(ISNUMBER(F117),ISNUMBER(G117),N(F117)&lt;N(G117)),IF(D117="lte",AND(ISNUMBER(F117),ISNUMBER(G117),N(F117)&lt;=N(G117)),FALSE)))))))))</f>
        <v>0</v>
      </c>
      <c r="I117" s="8">
        <f>IF($A117="",FALSE,AND(NOT(H117),C117&lt;&gt;"BLOCKING",L117))</f>
        <v>0</v>
      </c>
      <c r="J117" s="16">
        <f>IF(OR(H117,I117),N(P_Alertes!D14),0)</f>
        <v>0</v>
      </c>
      <c r="K117" s="8">
        <f>IF($A117="",FALSE,AND(OR(H117,I117),P_Alertes!I14="Oui"))</f>
        <v>0</v>
      </c>
      <c r="L117" s="8">
        <f>IF($A117="",FALSE,AND(OR(D117="gt",D117="gte",D117="lt",D117="lte"),F117=""))</f>
        <v>0</v>
      </c>
      <c r="M117" s="8">
        <f>IF(L117,IF(ISNUMBER(SEARCH(","&amp;E117&amp;",",","&amp;M116&amp;",")),M116,M116&amp;IF(M116="","",",")&amp;E117),M116)</f>
        <v>0</v>
      </c>
      <c r="N117" s="8">
        <f>IF(OR(H117,I117),N116&amp;IF(N116="","",", ")&amp;A117,N116)</f>
        <v>0</v>
      </c>
    </row>
    <row r="118" spans="1:14">
      <c r="A118" s="8">
        <f>IF(P_Alertes!A15="","",P_Alertes!A15)</f>
        <v>0</v>
      </c>
      <c r="B118" s="8">
        <f>IF($A118="","",P_Alertes!B15)</f>
        <v>0</v>
      </c>
      <c r="C118" s="8">
        <f>IF($A118="","",P_Alertes!C15)</f>
        <v>0</v>
      </c>
      <c r="D118" s="8">
        <f>IF($A118="","",P_Alertes!G15)</f>
        <v>0</v>
      </c>
      <c r="E118" s="8">
        <f>IF($A118="","",P_Alertes!F15)</f>
        <v>0</v>
      </c>
      <c r="F118" s="8">
        <f>IF($A118="","",IFERROR(INDEX(In_Retenue,MATCH($E118,In_Cles,0)),""))</f>
        <v>0</v>
      </c>
      <c r="G118" s="8">
        <f>IF($A118="","",IF(P_Alertes!H15="","",P_Alertes!H15))</f>
        <v>0</v>
      </c>
      <c r="H118" s="8">
        <f>IF($A118="",FALSE,IF(D118="isTrue",F118=TRUE,IF(D118="isFalse",F118=FALSE,IF(D118="eq",F118=G118,IF(D118="neq",F118&lt;&gt;G118,IF(D118="gt",AND(ISNUMBER(F118),ISNUMBER(G118),N(F118)&gt;N(G118)),IF(D118="gte",AND(ISNUMBER(F118),ISNUMBER(G118),N(F118)&gt;=N(G118)),IF(D118="lt",AND(ISNUMBER(F118),ISNUMBER(G118),N(F118)&lt;N(G118)),IF(D118="lte",AND(ISNUMBER(F118),ISNUMBER(G118),N(F118)&lt;=N(G118)),FALSE)))))))))</f>
        <v>0</v>
      </c>
      <c r="I118" s="8">
        <f>IF($A118="",FALSE,AND(NOT(H118),C118&lt;&gt;"BLOCKING",L118))</f>
        <v>0</v>
      </c>
      <c r="J118" s="16">
        <f>IF(OR(H118,I118),N(P_Alertes!D15),0)</f>
        <v>0</v>
      </c>
      <c r="K118" s="8">
        <f>IF($A118="",FALSE,AND(OR(H118,I118),P_Alertes!I15="Oui"))</f>
        <v>0</v>
      </c>
      <c r="L118" s="8">
        <f>IF($A118="",FALSE,AND(OR(D118="gt",D118="gte",D118="lt",D118="lte"),F118=""))</f>
        <v>0</v>
      </c>
      <c r="M118" s="8">
        <f>IF(L118,IF(ISNUMBER(SEARCH(","&amp;E118&amp;",",","&amp;M117&amp;",")),M117,M117&amp;IF(M117="","",",")&amp;E118),M117)</f>
        <v>0</v>
      </c>
      <c r="N118" s="8">
        <f>IF(OR(H118,I118),N117&amp;IF(N117="","",", ")&amp;A118,N117)</f>
        <v>0</v>
      </c>
    </row>
    <row r="119" spans="1:14">
      <c r="A119" s="8">
        <f>IF(P_Alertes!A16="","",P_Alertes!A16)</f>
        <v>0</v>
      </c>
      <c r="B119" s="8">
        <f>IF($A119="","",P_Alertes!B16)</f>
        <v>0</v>
      </c>
      <c r="C119" s="8">
        <f>IF($A119="","",P_Alertes!C16)</f>
        <v>0</v>
      </c>
      <c r="D119" s="8">
        <f>IF($A119="","",P_Alertes!G16)</f>
        <v>0</v>
      </c>
      <c r="E119" s="8">
        <f>IF($A119="","",P_Alertes!F16)</f>
        <v>0</v>
      </c>
      <c r="F119" s="8">
        <f>IF($A119="","",IFERROR(INDEX(In_Retenue,MATCH($E119,In_Cles,0)),""))</f>
        <v>0</v>
      </c>
      <c r="G119" s="8">
        <f>IF($A119="","",IF(P_Alertes!H16="","",P_Alertes!H16))</f>
        <v>0</v>
      </c>
      <c r="H119" s="8">
        <f>IF($A119="",FALSE,IF(D119="isTrue",F119=TRUE,IF(D119="isFalse",F119=FALSE,IF(D119="eq",F119=G119,IF(D119="neq",F119&lt;&gt;G119,IF(D119="gt",AND(ISNUMBER(F119),ISNUMBER(G119),N(F119)&gt;N(G119)),IF(D119="gte",AND(ISNUMBER(F119),ISNUMBER(G119),N(F119)&gt;=N(G119)),IF(D119="lt",AND(ISNUMBER(F119),ISNUMBER(G119),N(F119)&lt;N(G119)),IF(D119="lte",AND(ISNUMBER(F119),ISNUMBER(G119),N(F119)&lt;=N(G119)),FALSE)))))))))</f>
        <v>0</v>
      </c>
      <c r="I119" s="8">
        <f>IF($A119="",FALSE,AND(NOT(H119),C119&lt;&gt;"BLOCKING",L119))</f>
        <v>0</v>
      </c>
      <c r="J119" s="16">
        <f>IF(OR(H119,I119),N(P_Alertes!D16),0)</f>
        <v>0</v>
      </c>
      <c r="K119" s="8">
        <f>IF($A119="",FALSE,AND(OR(H119,I119),P_Alertes!I16="Oui"))</f>
        <v>0</v>
      </c>
      <c r="L119" s="8">
        <f>IF($A119="",FALSE,AND(OR(D119="gt",D119="gte",D119="lt",D119="lte"),F119=""))</f>
        <v>0</v>
      </c>
      <c r="M119" s="8">
        <f>IF(L119,IF(ISNUMBER(SEARCH(","&amp;E119&amp;",",","&amp;M118&amp;",")),M118,M118&amp;IF(M118="","",",")&amp;E119),M118)</f>
        <v>0</v>
      </c>
      <c r="N119" s="8">
        <f>IF(OR(H119,I119),N118&amp;IF(N118="","",", ")&amp;A119,N118)</f>
        <v>0</v>
      </c>
    </row>
    <row r="120" spans="1:14">
      <c r="A120" s="8">
        <f>IF(P_Alertes!A17="","",P_Alertes!A17)</f>
        <v>0</v>
      </c>
      <c r="B120" s="8">
        <f>IF($A120="","",P_Alertes!B17)</f>
        <v>0</v>
      </c>
      <c r="C120" s="8">
        <f>IF($A120="","",P_Alertes!C17)</f>
        <v>0</v>
      </c>
      <c r="D120" s="8">
        <f>IF($A120="","",P_Alertes!G17)</f>
        <v>0</v>
      </c>
      <c r="E120" s="8">
        <f>IF($A120="","",P_Alertes!F17)</f>
        <v>0</v>
      </c>
      <c r="F120" s="8">
        <f>IF($A120="","",IFERROR(INDEX(In_Retenue,MATCH($E120,In_Cles,0)),""))</f>
        <v>0</v>
      </c>
      <c r="G120" s="8">
        <f>IF($A120="","",IF(P_Alertes!H17="","",P_Alertes!H17))</f>
        <v>0</v>
      </c>
      <c r="H120" s="8">
        <f>IF($A120="",FALSE,IF(D120="isTrue",F120=TRUE,IF(D120="isFalse",F120=FALSE,IF(D120="eq",F120=G120,IF(D120="neq",F120&lt;&gt;G120,IF(D120="gt",AND(ISNUMBER(F120),ISNUMBER(G120),N(F120)&gt;N(G120)),IF(D120="gte",AND(ISNUMBER(F120),ISNUMBER(G120),N(F120)&gt;=N(G120)),IF(D120="lt",AND(ISNUMBER(F120),ISNUMBER(G120),N(F120)&lt;N(G120)),IF(D120="lte",AND(ISNUMBER(F120),ISNUMBER(G120),N(F120)&lt;=N(G120)),FALSE)))))))))</f>
        <v>0</v>
      </c>
      <c r="I120" s="8">
        <f>IF($A120="",FALSE,AND(NOT(H120),C120&lt;&gt;"BLOCKING",L120))</f>
        <v>0</v>
      </c>
      <c r="J120" s="16">
        <f>IF(OR(H120,I120),N(P_Alertes!D17),0)</f>
        <v>0</v>
      </c>
      <c r="K120" s="8">
        <f>IF($A120="",FALSE,AND(OR(H120,I120),P_Alertes!I17="Oui"))</f>
        <v>0</v>
      </c>
      <c r="L120" s="8">
        <f>IF($A120="",FALSE,AND(OR(D120="gt",D120="gte",D120="lt",D120="lte"),F120=""))</f>
        <v>0</v>
      </c>
      <c r="M120" s="8">
        <f>IF(L120,IF(ISNUMBER(SEARCH(","&amp;E120&amp;",",","&amp;M119&amp;",")),M119,M119&amp;IF(M119="","",",")&amp;E120),M119)</f>
        <v>0</v>
      </c>
      <c r="N120" s="8">
        <f>IF(OR(H120,I120),N119&amp;IF(N119="","",", ")&amp;A120,N119)</f>
        <v>0</v>
      </c>
    </row>
    <row r="121" spans="1:14">
      <c r="A121" s="8">
        <f>IF(P_Alertes!A18="","",P_Alertes!A18)</f>
        <v>0</v>
      </c>
      <c r="B121" s="8">
        <f>IF($A121="","",P_Alertes!B18)</f>
        <v>0</v>
      </c>
      <c r="C121" s="8">
        <f>IF($A121="","",P_Alertes!C18)</f>
        <v>0</v>
      </c>
      <c r="D121" s="8">
        <f>IF($A121="","",P_Alertes!G18)</f>
        <v>0</v>
      </c>
      <c r="E121" s="8">
        <f>IF($A121="","",P_Alertes!F18)</f>
        <v>0</v>
      </c>
      <c r="F121" s="8">
        <f>IF($A121="","",IFERROR(INDEX(In_Retenue,MATCH($E121,In_Cles,0)),""))</f>
        <v>0</v>
      </c>
      <c r="G121" s="8">
        <f>IF($A121="","",IF(P_Alertes!H18="","",P_Alertes!H18))</f>
        <v>0</v>
      </c>
      <c r="H121" s="8">
        <f>IF($A121="",FALSE,IF(D121="isTrue",F121=TRUE,IF(D121="isFalse",F121=FALSE,IF(D121="eq",F121=G121,IF(D121="neq",F121&lt;&gt;G121,IF(D121="gt",AND(ISNUMBER(F121),ISNUMBER(G121),N(F121)&gt;N(G121)),IF(D121="gte",AND(ISNUMBER(F121),ISNUMBER(G121),N(F121)&gt;=N(G121)),IF(D121="lt",AND(ISNUMBER(F121),ISNUMBER(G121),N(F121)&lt;N(G121)),IF(D121="lte",AND(ISNUMBER(F121),ISNUMBER(G121),N(F121)&lt;=N(G121)),FALSE)))))))))</f>
        <v>0</v>
      </c>
      <c r="I121" s="8">
        <f>IF($A121="",FALSE,AND(NOT(H121),C121&lt;&gt;"BLOCKING",L121))</f>
        <v>0</v>
      </c>
      <c r="J121" s="16">
        <f>IF(OR(H121,I121),N(P_Alertes!D18),0)</f>
        <v>0</v>
      </c>
      <c r="K121" s="8">
        <f>IF($A121="",FALSE,AND(OR(H121,I121),P_Alertes!I18="Oui"))</f>
        <v>0</v>
      </c>
      <c r="L121" s="8">
        <f>IF($A121="",FALSE,AND(OR(D121="gt",D121="gte",D121="lt",D121="lte"),F121=""))</f>
        <v>0</v>
      </c>
      <c r="M121" s="8">
        <f>IF(L121,IF(ISNUMBER(SEARCH(","&amp;E121&amp;",",","&amp;M120&amp;",")),M120,M120&amp;IF(M120="","",",")&amp;E121),M120)</f>
        <v>0</v>
      </c>
      <c r="N121" s="8">
        <f>IF(OR(H121,I121),N120&amp;IF(N120="","",", ")&amp;A121,N120)</f>
        <v>0</v>
      </c>
    </row>
    <row r="122" spans="1:14">
      <c r="A122" s="8">
        <f>IF(P_Alertes!A19="","",P_Alertes!A19)</f>
        <v>0</v>
      </c>
      <c r="B122" s="8">
        <f>IF($A122="","",P_Alertes!B19)</f>
        <v>0</v>
      </c>
      <c r="C122" s="8">
        <f>IF($A122="","",P_Alertes!C19)</f>
        <v>0</v>
      </c>
      <c r="D122" s="8">
        <f>IF($A122="","",P_Alertes!G19)</f>
        <v>0</v>
      </c>
      <c r="E122" s="8">
        <f>IF($A122="","",P_Alertes!F19)</f>
        <v>0</v>
      </c>
      <c r="F122" s="8">
        <f>IF($A122="","",IFERROR(INDEX(In_Retenue,MATCH($E122,In_Cles,0)),""))</f>
        <v>0</v>
      </c>
      <c r="G122" s="8">
        <f>IF($A122="","",IF(P_Alertes!H19="","",P_Alertes!H19))</f>
        <v>0</v>
      </c>
      <c r="H122" s="8">
        <f>IF($A122="",FALSE,IF(D122="isTrue",F122=TRUE,IF(D122="isFalse",F122=FALSE,IF(D122="eq",F122=G122,IF(D122="neq",F122&lt;&gt;G122,IF(D122="gt",AND(ISNUMBER(F122),ISNUMBER(G122),N(F122)&gt;N(G122)),IF(D122="gte",AND(ISNUMBER(F122),ISNUMBER(G122),N(F122)&gt;=N(G122)),IF(D122="lt",AND(ISNUMBER(F122),ISNUMBER(G122),N(F122)&lt;N(G122)),IF(D122="lte",AND(ISNUMBER(F122),ISNUMBER(G122),N(F122)&lt;=N(G122)),FALSE)))))))))</f>
        <v>0</v>
      </c>
      <c r="I122" s="8">
        <f>IF($A122="",FALSE,AND(NOT(H122),C122&lt;&gt;"BLOCKING",L122))</f>
        <v>0</v>
      </c>
      <c r="J122" s="16">
        <f>IF(OR(H122,I122),N(P_Alertes!D19),0)</f>
        <v>0</v>
      </c>
      <c r="K122" s="8">
        <f>IF($A122="",FALSE,AND(OR(H122,I122),P_Alertes!I19="Oui"))</f>
        <v>0</v>
      </c>
      <c r="L122" s="8">
        <f>IF($A122="",FALSE,AND(OR(D122="gt",D122="gte",D122="lt",D122="lte"),F122=""))</f>
        <v>0</v>
      </c>
      <c r="M122" s="8">
        <f>IF(L122,IF(ISNUMBER(SEARCH(","&amp;E122&amp;",",","&amp;M121&amp;",")),M121,M121&amp;IF(M121="","",",")&amp;E122),M121)</f>
        <v>0</v>
      </c>
      <c r="N122" s="8">
        <f>IF(OR(H122,I122),N121&amp;IF(N121="","",", ")&amp;A122,N121)</f>
        <v>0</v>
      </c>
    </row>
    <row r="123" spans="1:14">
      <c r="A123" s="8">
        <f>IF(P_Alertes!A20="","",P_Alertes!A20)</f>
        <v>0</v>
      </c>
      <c r="B123" s="8">
        <f>IF($A123="","",P_Alertes!B20)</f>
        <v>0</v>
      </c>
      <c r="C123" s="8">
        <f>IF($A123="","",P_Alertes!C20)</f>
        <v>0</v>
      </c>
      <c r="D123" s="8">
        <f>IF($A123="","",P_Alertes!G20)</f>
        <v>0</v>
      </c>
      <c r="E123" s="8">
        <f>IF($A123="","",P_Alertes!F20)</f>
        <v>0</v>
      </c>
      <c r="F123" s="8">
        <f>IF($A123="","",IFERROR(INDEX(In_Retenue,MATCH($E123,In_Cles,0)),""))</f>
        <v>0</v>
      </c>
      <c r="G123" s="8">
        <f>IF($A123="","",IF(P_Alertes!H20="","",P_Alertes!H20))</f>
        <v>0</v>
      </c>
      <c r="H123" s="8">
        <f>IF($A123="",FALSE,IF(D123="isTrue",F123=TRUE,IF(D123="isFalse",F123=FALSE,IF(D123="eq",F123=G123,IF(D123="neq",F123&lt;&gt;G123,IF(D123="gt",AND(ISNUMBER(F123),ISNUMBER(G123),N(F123)&gt;N(G123)),IF(D123="gte",AND(ISNUMBER(F123),ISNUMBER(G123),N(F123)&gt;=N(G123)),IF(D123="lt",AND(ISNUMBER(F123),ISNUMBER(G123),N(F123)&lt;N(G123)),IF(D123="lte",AND(ISNUMBER(F123),ISNUMBER(G123),N(F123)&lt;=N(G123)),FALSE)))))))))</f>
        <v>0</v>
      </c>
      <c r="I123" s="8">
        <f>IF($A123="",FALSE,AND(NOT(H123),C123&lt;&gt;"BLOCKING",L123))</f>
        <v>0</v>
      </c>
      <c r="J123" s="16">
        <f>IF(OR(H123,I123),N(P_Alertes!D20),0)</f>
        <v>0</v>
      </c>
      <c r="K123" s="8">
        <f>IF($A123="",FALSE,AND(OR(H123,I123),P_Alertes!I20="Oui"))</f>
        <v>0</v>
      </c>
      <c r="L123" s="8">
        <f>IF($A123="",FALSE,AND(OR(D123="gt",D123="gte",D123="lt",D123="lte"),F123=""))</f>
        <v>0</v>
      </c>
      <c r="M123" s="8">
        <f>IF(L123,IF(ISNUMBER(SEARCH(","&amp;E123&amp;",",","&amp;M122&amp;",")),M122,M122&amp;IF(M122="","",",")&amp;E123),M122)</f>
        <v>0</v>
      </c>
      <c r="N123" s="8">
        <f>IF(OR(H123,I123),N122&amp;IF(N122="","",", ")&amp;A123,N122)</f>
        <v>0</v>
      </c>
    </row>
    <row r="124" spans="1:14">
      <c r="A124" s="8">
        <f>IF(P_Alertes!A21="","",P_Alertes!A21)</f>
        <v>0</v>
      </c>
      <c r="B124" s="8">
        <f>IF($A124="","",P_Alertes!B21)</f>
        <v>0</v>
      </c>
      <c r="C124" s="8">
        <f>IF($A124="","",P_Alertes!C21)</f>
        <v>0</v>
      </c>
      <c r="D124" s="8">
        <f>IF($A124="","",P_Alertes!G21)</f>
        <v>0</v>
      </c>
      <c r="E124" s="8">
        <f>IF($A124="","",P_Alertes!F21)</f>
        <v>0</v>
      </c>
      <c r="F124" s="8">
        <f>IF($A124="","",IFERROR(INDEX(In_Retenue,MATCH($E124,In_Cles,0)),""))</f>
        <v>0</v>
      </c>
      <c r="G124" s="8">
        <f>IF($A124="","",IF(P_Alertes!H21="","",P_Alertes!H21))</f>
        <v>0</v>
      </c>
      <c r="H124" s="8">
        <f>IF($A124="",FALSE,IF(D124="isTrue",F124=TRUE,IF(D124="isFalse",F124=FALSE,IF(D124="eq",F124=G124,IF(D124="neq",F124&lt;&gt;G124,IF(D124="gt",AND(ISNUMBER(F124),ISNUMBER(G124),N(F124)&gt;N(G124)),IF(D124="gte",AND(ISNUMBER(F124),ISNUMBER(G124),N(F124)&gt;=N(G124)),IF(D124="lt",AND(ISNUMBER(F124),ISNUMBER(G124),N(F124)&lt;N(G124)),IF(D124="lte",AND(ISNUMBER(F124),ISNUMBER(G124),N(F124)&lt;=N(G124)),FALSE)))))))))</f>
        <v>0</v>
      </c>
      <c r="I124" s="8">
        <f>IF($A124="",FALSE,AND(NOT(H124),C124&lt;&gt;"BLOCKING",L124))</f>
        <v>0</v>
      </c>
      <c r="J124" s="16">
        <f>IF(OR(H124,I124),N(P_Alertes!D21),0)</f>
        <v>0</v>
      </c>
      <c r="K124" s="8">
        <f>IF($A124="",FALSE,AND(OR(H124,I124),P_Alertes!I21="Oui"))</f>
        <v>0</v>
      </c>
      <c r="L124" s="8">
        <f>IF($A124="",FALSE,AND(OR(D124="gt",D124="gte",D124="lt",D124="lte"),F124=""))</f>
        <v>0</v>
      </c>
      <c r="M124" s="8">
        <f>IF(L124,IF(ISNUMBER(SEARCH(","&amp;E124&amp;",",","&amp;M123&amp;",")),M123,M123&amp;IF(M123="","",",")&amp;E124),M123)</f>
        <v>0</v>
      </c>
      <c r="N124" s="8">
        <f>IF(OR(H124,I124),N123&amp;IF(N123="","",", ")&amp;A124,N123)</f>
        <v>0</v>
      </c>
    </row>
    <row r="125" spans="1:14">
      <c r="A125" s="8">
        <f>IF(P_Alertes!A22="","",P_Alertes!A22)</f>
        <v>0</v>
      </c>
      <c r="B125" s="8">
        <f>IF($A125="","",P_Alertes!B22)</f>
        <v>0</v>
      </c>
      <c r="C125" s="8">
        <f>IF($A125="","",P_Alertes!C22)</f>
        <v>0</v>
      </c>
      <c r="D125" s="8">
        <f>IF($A125="","",P_Alertes!G22)</f>
        <v>0</v>
      </c>
      <c r="E125" s="8">
        <f>IF($A125="","",P_Alertes!F22)</f>
        <v>0</v>
      </c>
      <c r="F125" s="8">
        <f>IF($A125="","",IFERROR(INDEX(In_Retenue,MATCH($E125,In_Cles,0)),""))</f>
        <v>0</v>
      </c>
      <c r="G125" s="8">
        <f>IF($A125="","",IF(P_Alertes!H22="","",P_Alertes!H22))</f>
        <v>0</v>
      </c>
      <c r="H125" s="8">
        <f>IF($A125="",FALSE,IF(D125="isTrue",F125=TRUE,IF(D125="isFalse",F125=FALSE,IF(D125="eq",F125=G125,IF(D125="neq",F125&lt;&gt;G125,IF(D125="gt",AND(ISNUMBER(F125),ISNUMBER(G125),N(F125)&gt;N(G125)),IF(D125="gte",AND(ISNUMBER(F125),ISNUMBER(G125),N(F125)&gt;=N(G125)),IF(D125="lt",AND(ISNUMBER(F125),ISNUMBER(G125),N(F125)&lt;N(G125)),IF(D125="lte",AND(ISNUMBER(F125),ISNUMBER(G125),N(F125)&lt;=N(G125)),FALSE)))))))))</f>
        <v>0</v>
      </c>
      <c r="I125" s="8">
        <f>IF($A125="",FALSE,AND(NOT(H125),C125&lt;&gt;"BLOCKING",L125))</f>
        <v>0</v>
      </c>
      <c r="J125" s="16">
        <f>IF(OR(H125,I125),N(P_Alertes!D22),0)</f>
        <v>0</v>
      </c>
      <c r="K125" s="8">
        <f>IF($A125="",FALSE,AND(OR(H125,I125),P_Alertes!I22="Oui"))</f>
        <v>0</v>
      </c>
      <c r="L125" s="8">
        <f>IF($A125="",FALSE,AND(OR(D125="gt",D125="gte",D125="lt",D125="lte"),F125=""))</f>
        <v>0</v>
      </c>
      <c r="M125" s="8">
        <f>IF(L125,IF(ISNUMBER(SEARCH(","&amp;E125&amp;",",","&amp;M124&amp;",")),M124,M124&amp;IF(M124="","",",")&amp;E125),M124)</f>
        <v>0</v>
      </c>
      <c r="N125" s="8">
        <f>IF(OR(H125,I125),N124&amp;IF(N124="","",", ")&amp;A125,N124)</f>
        <v>0</v>
      </c>
    </row>
    <row r="126" spans="1:14">
      <c r="A126" s="8">
        <f>IF(P_Alertes!A23="","",P_Alertes!A23)</f>
        <v>0</v>
      </c>
      <c r="B126" s="8">
        <f>IF($A126="","",P_Alertes!B23)</f>
        <v>0</v>
      </c>
      <c r="C126" s="8">
        <f>IF($A126="","",P_Alertes!C23)</f>
        <v>0</v>
      </c>
      <c r="D126" s="8">
        <f>IF($A126="","",P_Alertes!G23)</f>
        <v>0</v>
      </c>
      <c r="E126" s="8">
        <f>IF($A126="","",P_Alertes!F23)</f>
        <v>0</v>
      </c>
      <c r="F126" s="8">
        <f>IF($A126="","",IFERROR(INDEX(In_Retenue,MATCH($E126,In_Cles,0)),""))</f>
        <v>0</v>
      </c>
      <c r="G126" s="8">
        <f>IF($A126="","",IF(P_Alertes!H23="","",P_Alertes!H23))</f>
        <v>0</v>
      </c>
      <c r="H126" s="8">
        <f>IF($A126="",FALSE,IF(D126="isTrue",F126=TRUE,IF(D126="isFalse",F126=FALSE,IF(D126="eq",F126=G126,IF(D126="neq",F126&lt;&gt;G126,IF(D126="gt",AND(ISNUMBER(F126),ISNUMBER(G126),N(F126)&gt;N(G126)),IF(D126="gte",AND(ISNUMBER(F126),ISNUMBER(G126),N(F126)&gt;=N(G126)),IF(D126="lt",AND(ISNUMBER(F126),ISNUMBER(G126),N(F126)&lt;N(G126)),IF(D126="lte",AND(ISNUMBER(F126),ISNUMBER(G126),N(F126)&lt;=N(G126)),FALSE)))))))))</f>
        <v>0</v>
      </c>
      <c r="I126" s="8">
        <f>IF($A126="",FALSE,AND(NOT(H126),C126&lt;&gt;"BLOCKING",L126))</f>
        <v>0</v>
      </c>
      <c r="J126" s="16">
        <f>IF(OR(H126,I126),N(P_Alertes!D23),0)</f>
        <v>0</v>
      </c>
      <c r="K126" s="8">
        <f>IF($A126="",FALSE,AND(OR(H126,I126),P_Alertes!I23="Oui"))</f>
        <v>0</v>
      </c>
      <c r="L126" s="8">
        <f>IF($A126="",FALSE,AND(OR(D126="gt",D126="gte",D126="lt",D126="lte"),F126=""))</f>
        <v>0</v>
      </c>
      <c r="M126" s="8">
        <f>IF(L126,IF(ISNUMBER(SEARCH(","&amp;E126&amp;",",","&amp;M125&amp;",")),M125,M125&amp;IF(M125="","",",")&amp;E126),M125)</f>
        <v>0</v>
      </c>
      <c r="N126" s="8">
        <f>IF(OR(H126,I126),N125&amp;IF(N125="","",", ")&amp;A126,N125)</f>
        <v>0</v>
      </c>
    </row>
    <row r="127" spans="1:14">
      <c r="A127" s="8">
        <f>IF(P_Alertes!A24="","",P_Alertes!A24)</f>
        <v>0</v>
      </c>
      <c r="B127" s="8">
        <f>IF($A127="","",P_Alertes!B24)</f>
        <v>0</v>
      </c>
      <c r="C127" s="8">
        <f>IF($A127="","",P_Alertes!C24)</f>
        <v>0</v>
      </c>
      <c r="D127" s="8">
        <f>IF($A127="","",P_Alertes!G24)</f>
        <v>0</v>
      </c>
      <c r="E127" s="8">
        <f>IF($A127="","",P_Alertes!F24)</f>
        <v>0</v>
      </c>
      <c r="F127" s="8">
        <f>IF($A127="","",IFERROR(INDEX(In_Retenue,MATCH($E127,In_Cles,0)),""))</f>
        <v>0</v>
      </c>
      <c r="G127" s="8">
        <f>IF($A127="","",IF(P_Alertes!H24="","",P_Alertes!H24))</f>
        <v>0</v>
      </c>
      <c r="H127" s="8">
        <f>IF($A127="",FALSE,IF(D127="isTrue",F127=TRUE,IF(D127="isFalse",F127=FALSE,IF(D127="eq",F127=G127,IF(D127="neq",F127&lt;&gt;G127,IF(D127="gt",AND(ISNUMBER(F127),ISNUMBER(G127),N(F127)&gt;N(G127)),IF(D127="gte",AND(ISNUMBER(F127),ISNUMBER(G127),N(F127)&gt;=N(G127)),IF(D127="lt",AND(ISNUMBER(F127),ISNUMBER(G127),N(F127)&lt;N(G127)),IF(D127="lte",AND(ISNUMBER(F127),ISNUMBER(G127),N(F127)&lt;=N(G127)),FALSE)))))))))</f>
        <v>0</v>
      </c>
      <c r="I127" s="8">
        <f>IF($A127="",FALSE,AND(NOT(H127),C127&lt;&gt;"BLOCKING",L127))</f>
        <v>0</v>
      </c>
      <c r="J127" s="16">
        <f>IF(OR(H127,I127),N(P_Alertes!D24),0)</f>
        <v>0</v>
      </c>
      <c r="K127" s="8">
        <f>IF($A127="",FALSE,AND(OR(H127,I127),P_Alertes!I24="Oui"))</f>
        <v>0</v>
      </c>
      <c r="L127" s="8">
        <f>IF($A127="",FALSE,AND(OR(D127="gt",D127="gte",D127="lt",D127="lte"),F127=""))</f>
        <v>0</v>
      </c>
      <c r="M127" s="8">
        <f>IF(L127,IF(ISNUMBER(SEARCH(","&amp;E127&amp;",",","&amp;M126&amp;",")),M126,M126&amp;IF(M126="","",",")&amp;E127),M126)</f>
        <v>0</v>
      </c>
      <c r="N127" s="8">
        <f>IF(OR(H127,I127),N126&amp;IF(N126="","",", ")&amp;A127,N126)</f>
        <v>0</v>
      </c>
    </row>
    <row r="128" spans="1:14">
      <c r="A128" s="8">
        <f>IF(P_Alertes!A25="","",P_Alertes!A25)</f>
        <v>0</v>
      </c>
      <c r="B128" s="8">
        <f>IF($A128="","",P_Alertes!B25)</f>
        <v>0</v>
      </c>
      <c r="C128" s="8">
        <f>IF($A128="","",P_Alertes!C25)</f>
        <v>0</v>
      </c>
      <c r="D128" s="8">
        <f>IF($A128="","",P_Alertes!G25)</f>
        <v>0</v>
      </c>
      <c r="E128" s="8">
        <f>IF($A128="","",P_Alertes!F25)</f>
        <v>0</v>
      </c>
      <c r="F128" s="8">
        <f>IF($A128="","",IFERROR(INDEX(In_Retenue,MATCH($E128,In_Cles,0)),""))</f>
        <v>0</v>
      </c>
      <c r="G128" s="8">
        <f>IF($A128="","",IF(P_Alertes!H25="","",P_Alertes!H25))</f>
        <v>0</v>
      </c>
      <c r="H128" s="8">
        <f>IF($A128="",FALSE,IF(D128="isTrue",F128=TRUE,IF(D128="isFalse",F128=FALSE,IF(D128="eq",F128=G128,IF(D128="neq",F128&lt;&gt;G128,IF(D128="gt",AND(ISNUMBER(F128),ISNUMBER(G128),N(F128)&gt;N(G128)),IF(D128="gte",AND(ISNUMBER(F128),ISNUMBER(G128),N(F128)&gt;=N(G128)),IF(D128="lt",AND(ISNUMBER(F128),ISNUMBER(G128),N(F128)&lt;N(G128)),IF(D128="lte",AND(ISNUMBER(F128),ISNUMBER(G128),N(F128)&lt;=N(G128)),FALSE)))))))))</f>
        <v>0</v>
      </c>
      <c r="I128" s="8">
        <f>IF($A128="",FALSE,AND(NOT(H128),C128&lt;&gt;"BLOCKING",L128))</f>
        <v>0</v>
      </c>
      <c r="J128" s="16">
        <f>IF(OR(H128,I128),N(P_Alertes!D25),0)</f>
        <v>0</v>
      </c>
      <c r="K128" s="8">
        <f>IF($A128="",FALSE,AND(OR(H128,I128),P_Alertes!I25="Oui"))</f>
        <v>0</v>
      </c>
      <c r="L128" s="8">
        <f>IF($A128="",FALSE,AND(OR(D128="gt",D128="gte",D128="lt",D128="lte"),F128=""))</f>
        <v>0</v>
      </c>
      <c r="M128" s="8">
        <f>IF(L128,IF(ISNUMBER(SEARCH(","&amp;E128&amp;",",","&amp;M127&amp;",")),M127,M127&amp;IF(M127="","",",")&amp;E128),M127)</f>
        <v>0</v>
      </c>
      <c r="N128" s="8">
        <f>IF(OR(H128,I128),N127&amp;IF(N127="","",", ")&amp;A128,N127)</f>
        <v>0</v>
      </c>
    </row>
    <row r="129" spans="1:14">
      <c r="A129" s="8">
        <f>IF(P_Alertes!A26="","",P_Alertes!A26)</f>
        <v>0</v>
      </c>
      <c r="B129" s="8">
        <f>IF($A129="","",P_Alertes!B26)</f>
        <v>0</v>
      </c>
      <c r="C129" s="8">
        <f>IF($A129="","",P_Alertes!C26)</f>
        <v>0</v>
      </c>
      <c r="D129" s="8">
        <f>IF($A129="","",P_Alertes!G26)</f>
        <v>0</v>
      </c>
      <c r="E129" s="8">
        <f>IF($A129="","",P_Alertes!F26)</f>
        <v>0</v>
      </c>
      <c r="F129" s="8">
        <f>IF($A129="","",IFERROR(INDEX(In_Retenue,MATCH($E129,In_Cles,0)),""))</f>
        <v>0</v>
      </c>
      <c r="G129" s="8">
        <f>IF($A129="","",IF(P_Alertes!H26="","",P_Alertes!H26))</f>
        <v>0</v>
      </c>
      <c r="H129" s="8">
        <f>IF($A129="",FALSE,IF(D129="isTrue",F129=TRUE,IF(D129="isFalse",F129=FALSE,IF(D129="eq",F129=G129,IF(D129="neq",F129&lt;&gt;G129,IF(D129="gt",AND(ISNUMBER(F129),ISNUMBER(G129),N(F129)&gt;N(G129)),IF(D129="gte",AND(ISNUMBER(F129),ISNUMBER(G129),N(F129)&gt;=N(G129)),IF(D129="lt",AND(ISNUMBER(F129),ISNUMBER(G129),N(F129)&lt;N(G129)),IF(D129="lte",AND(ISNUMBER(F129),ISNUMBER(G129),N(F129)&lt;=N(G129)),FALSE)))))))))</f>
        <v>0</v>
      </c>
      <c r="I129" s="8">
        <f>IF($A129="",FALSE,AND(NOT(H129),C129&lt;&gt;"BLOCKING",L129))</f>
        <v>0</v>
      </c>
      <c r="J129" s="16">
        <f>IF(OR(H129,I129),N(P_Alertes!D26),0)</f>
        <v>0</v>
      </c>
      <c r="K129" s="8">
        <f>IF($A129="",FALSE,AND(OR(H129,I129),P_Alertes!I26="Oui"))</f>
        <v>0</v>
      </c>
      <c r="L129" s="8">
        <f>IF($A129="",FALSE,AND(OR(D129="gt",D129="gte",D129="lt",D129="lte"),F129=""))</f>
        <v>0</v>
      </c>
      <c r="M129" s="8">
        <f>IF(L129,IF(ISNUMBER(SEARCH(","&amp;E129&amp;",",","&amp;M128&amp;",")),M128,M128&amp;IF(M128="","",",")&amp;E129),M128)</f>
        <v>0</v>
      </c>
      <c r="N129" s="8">
        <f>IF(OR(H129,I129),N128&amp;IF(N128="","",", ")&amp;A129,N128)</f>
        <v>0</v>
      </c>
    </row>
    <row r="130" spans="1:14">
      <c r="A130" s="8">
        <f>IF(P_Alertes!A27="","",P_Alertes!A27)</f>
        <v>0</v>
      </c>
      <c r="B130" s="8">
        <f>IF($A130="","",P_Alertes!B27)</f>
        <v>0</v>
      </c>
      <c r="C130" s="8">
        <f>IF($A130="","",P_Alertes!C27)</f>
        <v>0</v>
      </c>
      <c r="D130" s="8">
        <f>IF($A130="","",P_Alertes!G27)</f>
        <v>0</v>
      </c>
      <c r="E130" s="8">
        <f>IF($A130="","",P_Alertes!F27)</f>
        <v>0</v>
      </c>
      <c r="F130" s="8">
        <f>IF($A130="","",IFERROR(INDEX(In_Retenue,MATCH($E130,In_Cles,0)),""))</f>
        <v>0</v>
      </c>
      <c r="G130" s="8">
        <f>IF($A130="","",IF(P_Alertes!H27="","",P_Alertes!H27))</f>
        <v>0</v>
      </c>
      <c r="H130" s="8">
        <f>IF($A130="",FALSE,IF(D130="isTrue",F130=TRUE,IF(D130="isFalse",F130=FALSE,IF(D130="eq",F130=G130,IF(D130="neq",F130&lt;&gt;G130,IF(D130="gt",AND(ISNUMBER(F130),ISNUMBER(G130),N(F130)&gt;N(G130)),IF(D130="gte",AND(ISNUMBER(F130),ISNUMBER(G130),N(F130)&gt;=N(G130)),IF(D130="lt",AND(ISNUMBER(F130),ISNUMBER(G130),N(F130)&lt;N(G130)),IF(D130="lte",AND(ISNUMBER(F130),ISNUMBER(G130),N(F130)&lt;=N(G130)),FALSE)))))))))</f>
        <v>0</v>
      </c>
      <c r="I130" s="8">
        <f>IF($A130="",FALSE,AND(NOT(H130),C130&lt;&gt;"BLOCKING",L130))</f>
        <v>0</v>
      </c>
      <c r="J130" s="16">
        <f>IF(OR(H130,I130),N(P_Alertes!D27),0)</f>
        <v>0</v>
      </c>
      <c r="K130" s="8">
        <f>IF($A130="",FALSE,AND(OR(H130,I130),P_Alertes!I27="Oui"))</f>
        <v>0</v>
      </c>
      <c r="L130" s="8">
        <f>IF($A130="",FALSE,AND(OR(D130="gt",D130="gte",D130="lt",D130="lte"),F130=""))</f>
        <v>0</v>
      </c>
      <c r="M130" s="8">
        <f>IF(L130,IF(ISNUMBER(SEARCH(","&amp;E130&amp;",",","&amp;M129&amp;",")),M129,M129&amp;IF(M129="","",",")&amp;E130),M129)</f>
        <v>0</v>
      </c>
      <c r="N130" s="8">
        <f>IF(OR(H130,I130),N129&amp;IF(N129="","",", ")&amp;A130,N129)</f>
        <v>0</v>
      </c>
    </row>
    <row r="131" spans="1:14">
      <c r="A131" s="8">
        <f>IF(P_Alertes!A28="","",P_Alertes!A28)</f>
        <v>0</v>
      </c>
      <c r="B131" s="8">
        <f>IF($A131="","",P_Alertes!B28)</f>
        <v>0</v>
      </c>
      <c r="C131" s="8">
        <f>IF($A131="","",P_Alertes!C28)</f>
        <v>0</v>
      </c>
      <c r="D131" s="8">
        <f>IF($A131="","",P_Alertes!G28)</f>
        <v>0</v>
      </c>
      <c r="E131" s="8">
        <f>IF($A131="","",P_Alertes!F28)</f>
        <v>0</v>
      </c>
      <c r="F131" s="8">
        <f>IF($A131="","",IFERROR(INDEX(In_Retenue,MATCH($E131,In_Cles,0)),""))</f>
        <v>0</v>
      </c>
      <c r="G131" s="8">
        <f>IF($A131="","",IF(P_Alertes!H28="","",P_Alertes!H28))</f>
        <v>0</v>
      </c>
      <c r="H131" s="8">
        <f>IF($A131="",FALSE,IF(D131="isTrue",F131=TRUE,IF(D131="isFalse",F131=FALSE,IF(D131="eq",F131=G131,IF(D131="neq",F131&lt;&gt;G131,IF(D131="gt",AND(ISNUMBER(F131),ISNUMBER(G131),N(F131)&gt;N(G131)),IF(D131="gte",AND(ISNUMBER(F131),ISNUMBER(G131),N(F131)&gt;=N(G131)),IF(D131="lt",AND(ISNUMBER(F131),ISNUMBER(G131),N(F131)&lt;N(G131)),IF(D131="lte",AND(ISNUMBER(F131),ISNUMBER(G131),N(F131)&lt;=N(G131)),FALSE)))))))))</f>
        <v>0</v>
      </c>
      <c r="I131" s="8">
        <f>IF($A131="",FALSE,AND(NOT(H131),C131&lt;&gt;"BLOCKING",L131))</f>
        <v>0</v>
      </c>
      <c r="J131" s="16">
        <f>IF(OR(H131,I131),N(P_Alertes!D28),0)</f>
        <v>0</v>
      </c>
      <c r="K131" s="8">
        <f>IF($A131="",FALSE,AND(OR(H131,I131),P_Alertes!I28="Oui"))</f>
        <v>0</v>
      </c>
      <c r="L131" s="8">
        <f>IF($A131="",FALSE,AND(OR(D131="gt",D131="gte",D131="lt",D131="lte"),F131=""))</f>
        <v>0</v>
      </c>
      <c r="M131" s="8">
        <f>IF(L131,IF(ISNUMBER(SEARCH(","&amp;E131&amp;",",","&amp;M130&amp;",")),M130,M130&amp;IF(M130="","",",")&amp;E131),M130)</f>
        <v>0</v>
      </c>
      <c r="N131" s="8">
        <f>IF(OR(H131,I131),N130&amp;IF(N130="","",", ")&amp;A131,N130)</f>
        <v>0</v>
      </c>
    </row>
    <row r="132" spans="1:14">
      <c r="A132" s="8">
        <f>IF(P_Alertes!A29="","",P_Alertes!A29)</f>
        <v>0</v>
      </c>
      <c r="B132" s="8">
        <f>IF($A132="","",P_Alertes!B29)</f>
        <v>0</v>
      </c>
      <c r="C132" s="8">
        <f>IF($A132="","",P_Alertes!C29)</f>
        <v>0</v>
      </c>
      <c r="D132" s="8">
        <f>IF($A132="","",P_Alertes!G29)</f>
        <v>0</v>
      </c>
      <c r="E132" s="8">
        <f>IF($A132="","",P_Alertes!F29)</f>
        <v>0</v>
      </c>
      <c r="F132" s="8">
        <f>IF($A132="","",IFERROR(INDEX(In_Retenue,MATCH($E132,In_Cles,0)),""))</f>
        <v>0</v>
      </c>
      <c r="G132" s="8">
        <f>IF($A132="","",IF(P_Alertes!H29="","",P_Alertes!H29))</f>
        <v>0</v>
      </c>
      <c r="H132" s="8">
        <f>IF($A132="",FALSE,IF(D132="isTrue",F132=TRUE,IF(D132="isFalse",F132=FALSE,IF(D132="eq",F132=G132,IF(D132="neq",F132&lt;&gt;G132,IF(D132="gt",AND(ISNUMBER(F132),ISNUMBER(G132),N(F132)&gt;N(G132)),IF(D132="gte",AND(ISNUMBER(F132),ISNUMBER(G132),N(F132)&gt;=N(G132)),IF(D132="lt",AND(ISNUMBER(F132),ISNUMBER(G132),N(F132)&lt;N(G132)),IF(D132="lte",AND(ISNUMBER(F132),ISNUMBER(G132),N(F132)&lt;=N(G132)),FALSE)))))))))</f>
        <v>0</v>
      </c>
      <c r="I132" s="8">
        <f>IF($A132="",FALSE,AND(NOT(H132),C132&lt;&gt;"BLOCKING",L132))</f>
        <v>0</v>
      </c>
      <c r="J132" s="16">
        <f>IF(OR(H132,I132),N(P_Alertes!D29),0)</f>
        <v>0</v>
      </c>
      <c r="K132" s="8">
        <f>IF($A132="",FALSE,AND(OR(H132,I132),P_Alertes!I29="Oui"))</f>
        <v>0</v>
      </c>
      <c r="L132" s="8">
        <f>IF($A132="",FALSE,AND(OR(D132="gt",D132="gte",D132="lt",D132="lte"),F132=""))</f>
        <v>0</v>
      </c>
      <c r="M132" s="8">
        <f>IF(L132,IF(ISNUMBER(SEARCH(","&amp;E132&amp;",",","&amp;M131&amp;",")),M131,M131&amp;IF(M131="","",",")&amp;E132),M131)</f>
        <v>0</v>
      </c>
      <c r="N132" s="8">
        <f>IF(OR(H132,I132),N131&amp;IF(N131="","",", ")&amp;A132,N131)</f>
        <v>0</v>
      </c>
    </row>
    <row r="133" spans="1:14">
      <c r="A133" s="8">
        <f>IF(P_Alertes!A30="","",P_Alertes!A30)</f>
        <v>0</v>
      </c>
      <c r="B133" s="8">
        <f>IF($A133="","",P_Alertes!B30)</f>
        <v>0</v>
      </c>
      <c r="C133" s="8">
        <f>IF($A133="","",P_Alertes!C30)</f>
        <v>0</v>
      </c>
      <c r="D133" s="8">
        <f>IF($A133="","",P_Alertes!G30)</f>
        <v>0</v>
      </c>
      <c r="E133" s="8">
        <f>IF($A133="","",P_Alertes!F30)</f>
        <v>0</v>
      </c>
      <c r="F133" s="8">
        <f>IF($A133="","",IFERROR(INDEX(In_Retenue,MATCH($E133,In_Cles,0)),""))</f>
        <v>0</v>
      </c>
      <c r="G133" s="8">
        <f>IF($A133="","",IF(P_Alertes!H30="","",P_Alertes!H30))</f>
        <v>0</v>
      </c>
      <c r="H133" s="8">
        <f>IF($A133="",FALSE,IF(D133="isTrue",F133=TRUE,IF(D133="isFalse",F133=FALSE,IF(D133="eq",F133=G133,IF(D133="neq",F133&lt;&gt;G133,IF(D133="gt",AND(ISNUMBER(F133),ISNUMBER(G133),N(F133)&gt;N(G133)),IF(D133="gte",AND(ISNUMBER(F133),ISNUMBER(G133),N(F133)&gt;=N(G133)),IF(D133="lt",AND(ISNUMBER(F133),ISNUMBER(G133),N(F133)&lt;N(G133)),IF(D133="lte",AND(ISNUMBER(F133),ISNUMBER(G133),N(F133)&lt;=N(G133)),FALSE)))))))))</f>
        <v>0</v>
      </c>
      <c r="I133" s="8">
        <f>IF($A133="",FALSE,AND(NOT(H133),C133&lt;&gt;"BLOCKING",L133))</f>
        <v>0</v>
      </c>
      <c r="J133" s="16">
        <f>IF(OR(H133,I133),N(P_Alertes!D30),0)</f>
        <v>0</v>
      </c>
      <c r="K133" s="8">
        <f>IF($A133="",FALSE,AND(OR(H133,I133),P_Alertes!I30="Oui"))</f>
        <v>0</v>
      </c>
      <c r="L133" s="8">
        <f>IF($A133="",FALSE,AND(OR(D133="gt",D133="gte",D133="lt",D133="lte"),F133=""))</f>
        <v>0</v>
      </c>
      <c r="M133" s="8">
        <f>IF(L133,IF(ISNUMBER(SEARCH(","&amp;E133&amp;",",","&amp;M132&amp;",")),M132,M132&amp;IF(M132="","",",")&amp;E133),M132)</f>
        <v>0</v>
      </c>
      <c r="N133" s="8">
        <f>IF(OR(H133,I133),N132&amp;IF(N132="","",", ")&amp;A133,N132)</f>
        <v>0</v>
      </c>
    </row>
    <row r="134" spans="1:14">
      <c r="A134" s="8">
        <f>IF(P_Alertes!A31="","",P_Alertes!A31)</f>
        <v>0</v>
      </c>
      <c r="B134" s="8">
        <f>IF($A134="","",P_Alertes!B31)</f>
        <v>0</v>
      </c>
      <c r="C134" s="8">
        <f>IF($A134="","",P_Alertes!C31)</f>
        <v>0</v>
      </c>
      <c r="D134" s="8">
        <f>IF($A134="","",P_Alertes!G31)</f>
        <v>0</v>
      </c>
      <c r="E134" s="8">
        <f>IF($A134="","",P_Alertes!F31)</f>
        <v>0</v>
      </c>
      <c r="F134" s="8">
        <f>IF($A134="","",IFERROR(INDEX(In_Retenue,MATCH($E134,In_Cles,0)),""))</f>
        <v>0</v>
      </c>
      <c r="G134" s="8">
        <f>IF($A134="","",IF(P_Alertes!H31="","",P_Alertes!H31))</f>
        <v>0</v>
      </c>
      <c r="H134" s="8">
        <f>IF($A134="",FALSE,IF(D134="isTrue",F134=TRUE,IF(D134="isFalse",F134=FALSE,IF(D134="eq",F134=G134,IF(D134="neq",F134&lt;&gt;G134,IF(D134="gt",AND(ISNUMBER(F134),ISNUMBER(G134),N(F134)&gt;N(G134)),IF(D134="gte",AND(ISNUMBER(F134),ISNUMBER(G134),N(F134)&gt;=N(G134)),IF(D134="lt",AND(ISNUMBER(F134),ISNUMBER(G134),N(F134)&lt;N(G134)),IF(D134="lte",AND(ISNUMBER(F134),ISNUMBER(G134),N(F134)&lt;=N(G134)),FALSE)))))))))</f>
        <v>0</v>
      </c>
      <c r="I134" s="8">
        <f>IF($A134="",FALSE,AND(NOT(H134),C134&lt;&gt;"BLOCKING",L134))</f>
        <v>0</v>
      </c>
      <c r="J134" s="16">
        <f>IF(OR(H134,I134),N(P_Alertes!D31),0)</f>
        <v>0</v>
      </c>
      <c r="K134" s="8">
        <f>IF($A134="",FALSE,AND(OR(H134,I134),P_Alertes!I31="Oui"))</f>
        <v>0</v>
      </c>
      <c r="L134" s="8">
        <f>IF($A134="",FALSE,AND(OR(D134="gt",D134="gte",D134="lt",D134="lte"),F134=""))</f>
        <v>0</v>
      </c>
      <c r="M134" s="8">
        <f>IF(L134,IF(ISNUMBER(SEARCH(","&amp;E134&amp;",",","&amp;M133&amp;",")),M133,M133&amp;IF(M133="","",",")&amp;E134),M133)</f>
        <v>0</v>
      </c>
      <c r="N134" s="8">
        <f>IF(OR(H134,I134),N133&amp;IF(N133="","",", ")&amp;A134,N133)</f>
        <v>0</v>
      </c>
    </row>
    <row r="135" spans="1:14">
      <c r="A135" s="8">
        <f>IF(P_Alertes!A32="","",P_Alertes!A32)</f>
        <v>0</v>
      </c>
      <c r="B135" s="8">
        <f>IF($A135="","",P_Alertes!B32)</f>
        <v>0</v>
      </c>
      <c r="C135" s="8">
        <f>IF($A135="","",P_Alertes!C32)</f>
        <v>0</v>
      </c>
      <c r="D135" s="8">
        <f>IF($A135="","",P_Alertes!G32)</f>
        <v>0</v>
      </c>
      <c r="E135" s="8">
        <f>IF($A135="","",P_Alertes!F32)</f>
        <v>0</v>
      </c>
      <c r="F135" s="8">
        <f>IF($A135="","",IFERROR(INDEX(In_Retenue,MATCH($E135,In_Cles,0)),""))</f>
        <v>0</v>
      </c>
      <c r="G135" s="8">
        <f>IF($A135="","",IF(P_Alertes!H32="","",P_Alertes!H32))</f>
        <v>0</v>
      </c>
      <c r="H135" s="8">
        <f>IF($A135="",FALSE,IF(D135="isTrue",F135=TRUE,IF(D135="isFalse",F135=FALSE,IF(D135="eq",F135=G135,IF(D135="neq",F135&lt;&gt;G135,IF(D135="gt",AND(ISNUMBER(F135),ISNUMBER(G135),N(F135)&gt;N(G135)),IF(D135="gte",AND(ISNUMBER(F135),ISNUMBER(G135),N(F135)&gt;=N(G135)),IF(D135="lt",AND(ISNUMBER(F135),ISNUMBER(G135),N(F135)&lt;N(G135)),IF(D135="lte",AND(ISNUMBER(F135),ISNUMBER(G135),N(F135)&lt;=N(G135)),FALSE)))))))))</f>
        <v>0</v>
      </c>
      <c r="I135" s="8">
        <f>IF($A135="",FALSE,AND(NOT(H135),C135&lt;&gt;"BLOCKING",L135))</f>
        <v>0</v>
      </c>
      <c r="J135" s="16">
        <f>IF(OR(H135,I135),N(P_Alertes!D32),0)</f>
        <v>0</v>
      </c>
      <c r="K135" s="8">
        <f>IF($A135="",FALSE,AND(OR(H135,I135),P_Alertes!I32="Oui"))</f>
        <v>0</v>
      </c>
      <c r="L135" s="8">
        <f>IF($A135="",FALSE,AND(OR(D135="gt",D135="gte",D135="lt",D135="lte"),F135=""))</f>
        <v>0</v>
      </c>
      <c r="M135" s="8">
        <f>IF(L135,IF(ISNUMBER(SEARCH(","&amp;E135&amp;",",","&amp;M134&amp;",")),M134,M134&amp;IF(M134="","",",")&amp;E135),M134)</f>
        <v>0</v>
      </c>
      <c r="N135" s="8">
        <f>IF(OR(H135,I135),N134&amp;IF(N134="","",", ")&amp;A135,N134)</f>
        <v>0</v>
      </c>
    </row>
    <row r="136" spans="1:14">
      <c r="A136" s="8">
        <f>IF(P_Alertes!A33="","",P_Alertes!A33)</f>
        <v>0</v>
      </c>
      <c r="B136" s="8">
        <f>IF($A136="","",P_Alertes!B33)</f>
        <v>0</v>
      </c>
      <c r="C136" s="8">
        <f>IF($A136="","",P_Alertes!C33)</f>
        <v>0</v>
      </c>
      <c r="D136" s="8">
        <f>IF($A136="","",P_Alertes!G33)</f>
        <v>0</v>
      </c>
      <c r="E136" s="8">
        <f>IF($A136="","",P_Alertes!F33)</f>
        <v>0</v>
      </c>
      <c r="F136" s="8">
        <f>IF($A136="","",IFERROR(INDEX(In_Retenue,MATCH($E136,In_Cles,0)),""))</f>
        <v>0</v>
      </c>
      <c r="G136" s="8">
        <f>IF($A136="","",IF(P_Alertes!H33="","",P_Alertes!H33))</f>
        <v>0</v>
      </c>
      <c r="H136" s="8">
        <f>IF($A136="",FALSE,IF(D136="isTrue",F136=TRUE,IF(D136="isFalse",F136=FALSE,IF(D136="eq",F136=G136,IF(D136="neq",F136&lt;&gt;G136,IF(D136="gt",AND(ISNUMBER(F136),ISNUMBER(G136),N(F136)&gt;N(G136)),IF(D136="gte",AND(ISNUMBER(F136),ISNUMBER(G136),N(F136)&gt;=N(G136)),IF(D136="lt",AND(ISNUMBER(F136),ISNUMBER(G136),N(F136)&lt;N(G136)),IF(D136="lte",AND(ISNUMBER(F136),ISNUMBER(G136),N(F136)&lt;=N(G136)),FALSE)))))))))</f>
        <v>0</v>
      </c>
      <c r="I136" s="8">
        <f>IF($A136="",FALSE,AND(NOT(H136),C136&lt;&gt;"BLOCKING",L136))</f>
        <v>0</v>
      </c>
      <c r="J136" s="16">
        <f>IF(OR(H136,I136),N(P_Alertes!D33),0)</f>
        <v>0</v>
      </c>
      <c r="K136" s="8">
        <f>IF($A136="",FALSE,AND(OR(H136,I136),P_Alertes!I33="Oui"))</f>
        <v>0</v>
      </c>
      <c r="L136" s="8">
        <f>IF($A136="",FALSE,AND(OR(D136="gt",D136="gte",D136="lt",D136="lte"),F136=""))</f>
        <v>0</v>
      </c>
      <c r="M136" s="8">
        <f>IF(L136,IF(ISNUMBER(SEARCH(","&amp;E136&amp;",",","&amp;M135&amp;",")),M135,M135&amp;IF(M135="","",",")&amp;E136),M135)</f>
        <v>0</v>
      </c>
      <c r="N136" s="8">
        <f>IF(OR(H136,I136),N135&amp;IF(N135="","",", ")&amp;A136,N135)</f>
        <v>0</v>
      </c>
    </row>
    <row r="137" spans="1:14">
      <c r="A137" s="8">
        <f>IF(P_Alertes!A34="","",P_Alertes!A34)</f>
        <v>0</v>
      </c>
      <c r="B137" s="8">
        <f>IF($A137="","",P_Alertes!B34)</f>
        <v>0</v>
      </c>
      <c r="C137" s="8">
        <f>IF($A137="","",P_Alertes!C34)</f>
        <v>0</v>
      </c>
      <c r="D137" s="8">
        <f>IF($A137="","",P_Alertes!G34)</f>
        <v>0</v>
      </c>
      <c r="E137" s="8">
        <f>IF($A137="","",P_Alertes!F34)</f>
        <v>0</v>
      </c>
      <c r="F137" s="8">
        <f>IF($A137="","",IFERROR(INDEX(In_Retenue,MATCH($E137,In_Cles,0)),""))</f>
        <v>0</v>
      </c>
      <c r="G137" s="8">
        <f>IF($A137="","",IF(P_Alertes!H34="","",P_Alertes!H34))</f>
        <v>0</v>
      </c>
      <c r="H137" s="8">
        <f>IF($A137="",FALSE,IF(D137="isTrue",F137=TRUE,IF(D137="isFalse",F137=FALSE,IF(D137="eq",F137=G137,IF(D137="neq",F137&lt;&gt;G137,IF(D137="gt",AND(ISNUMBER(F137),ISNUMBER(G137),N(F137)&gt;N(G137)),IF(D137="gte",AND(ISNUMBER(F137),ISNUMBER(G137),N(F137)&gt;=N(G137)),IF(D137="lt",AND(ISNUMBER(F137),ISNUMBER(G137),N(F137)&lt;N(G137)),IF(D137="lte",AND(ISNUMBER(F137),ISNUMBER(G137),N(F137)&lt;=N(G137)),FALSE)))))))))</f>
        <v>0</v>
      </c>
      <c r="I137" s="8">
        <f>IF($A137="",FALSE,AND(NOT(H137),C137&lt;&gt;"BLOCKING",L137))</f>
        <v>0</v>
      </c>
      <c r="J137" s="16">
        <f>IF(OR(H137,I137),N(P_Alertes!D34),0)</f>
        <v>0</v>
      </c>
      <c r="K137" s="8">
        <f>IF($A137="",FALSE,AND(OR(H137,I137),P_Alertes!I34="Oui"))</f>
        <v>0</v>
      </c>
      <c r="L137" s="8">
        <f>IF($A137="",FALSE,AND(OR(D137="gt",D137="gte",D137="lt",D137="lte"),F137=""))</f>
        <v>0</v>
      </c>
      <c r="M137" s="8">
        <f>IF(L137,IF(ISNUMBER(SEARCH(","&amp;E137&amp;",",","&amp;M136&amp;",")),M136,M136&amp;IF(M136="","",",")&amp;E137),M136)</f>
        <v>0</v>
      </c>
      <c r="N137" s="8">
        <f>IF(OR(H137,I137),N136&amp;IF(N136="","",", ")&amp;A137,N136)</f>
        <v>0</v>
      </c>
    </row>
  </sheetData>
  <conditionalFormatting sqref="C7">
    <cfRule type="cellIs" dxfId="0" priority="1" operator="equal">
      <formula>"GO"</formula>
    </cfRule>
    <cfRule type="cellIs" dxfId="1" priority="2" operator="equal">
      <formula>"GO_WITH_CONDITIONS"</formula>
    </cfRule>
    <cfRule type="cellIs" dxfId="2" priority="3" operator="equal">
      <formula>"WATCH_LIST"</formula>
    </cfRule>
    <cfRule type="cellIs" dxfId="3" priority="4" operator="equal">
      <formula>"NO_GO"</formula>
    </cfRule>
    <cfRule type="cellIs" dxfId="4" priority="5" operator="equal">
      <formula>"DOSSIER_INCOMPLET"</formula>
    </cfRule>
  </conditionalFormatting>
  <conditionalFormatting sqref="H108:H137">
    <cfRule type="cellIs" dxfId="3" priority="6" operator="equal">
      <formula>TRUE</formula>
    </cfRule>
  </conditionalFormatting>
  <conditionalFormatting sqref="I44:J103">
    <cfRule type="cellIs" dxfId="3" priority="7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C000"/>
  </sheetPr>
  <dimension ref="A1:G121"/>
  <sheetViews>
    <sheetView workbookViewId="0"/>
  </sheetViews>
  <sheetFormatPr defaultRowHeight="15"/>
  <cols>
    <col min="1" max="1" width="30.7109375" customWidth="1"/>
    <col min="2" max="2" width="50.7109375" customWidth="1"/>
    <col min="3" max="8" width="15.7109375" customWidth="1"/>
  </cols>
  <sheetData>
    <row r="1" spans="1:7">
      <c r="A1" s="1" t="s">
        <v>493</v>
      </c>
    </row>
    <row r="2" spans="1:7">
      <c r="A2" s="2" t="s">
        <v>494</v>
      </c>
    </row>
    <row r="4" spans="1:7">
      <c r="A4" s="5" t="s">
        <v>495</v>
      </c>
    </row>
    <row r="5" spans="1:7">
      <c r="A5" s="6" t="s">
        <v>496</v>
      </c>
      <c r="B5" s="7" t="s">
        <v>50</v>
      </c>
    </row>
    <row r="7" spans="1:7">
      <c r="A7" s="10" t="s">
        <v>17</v>
      </c>
      <c r="B7" s="10" t="s">
        <v>379</v>
      </c>
      <c r="C7" s="10" t="s">
        <v>497</v>
      </c>
      <c r="D7" s="10" t="s">
        <v>498</v>
      </c>
      <c r="E7" s="10" t="s">
        <v>384</v>
      </c>
      <c r="F7" s="10" t="s">
        <v>385</v>
      </c>
      <c r="G7" s="10" t="s">
        <v>499</v>
      </c>
    </row>
    <row r="8" spans="1:7">
      <c r="A8" s="8">
        <f>IF(P_Referentiels!A6="","",P_Referentiels!A6)</f>
        <v>0</v>
      </c>
      <c r="B8" s="8">
        <f>IF(A8="","",P_Referentiels!B6)</f>
        <v>0</v>
      </c>
      <c r="C8" s="8">
        <f>IF(A8="",FALSE,IF($B$5="LOTISSEMENT",P_Referentiels!D6,IF($B$5="CONSTRUCTION",P_Referentiels!E6,P_Referentiels!F6))="Oui")</f>
        <v>0</v>
      </c>
      <c r="D8" s="7"/>
      <c r="E8" s="8">
        <f>IF(A8="",FALSE,P_Referentiels!G6="Oui")</f>
        <v>0</v>
      </c>
      <c r="F8" s="8">
        <f>IF(A8="",FALSE,P_Referentiels!H6="Oui")</f>
        <v>0</v>
      </c>
      <c r="G8" s="8">
        <f>AND(C8,D8&lt;&gt;"Oui")</f>
        <v>0</v>
      </c>
    </row>
    <row r="9" spans="1:7">
      <c r="A9" s="8">
        <f>IF(P_Referentiels!A7="","",P_Referentiels!A7)</f>
        <v>0</v>
      </c>
      <c r="B9" s="8">
        <f>IF(A9="","",P_Referentiels!B7)</f>
        <v>0</v>
      </c>
      <c r="C9" s="8">
        <f>IF(A9="",FALSE,IF($B$5="LOTISSEMENT",P_Referentiels!D7,IF($B$5="CONSTRUCTION",P_Referentiels!E7,P_Referentiels!F7))="Oui")</f>
        <v>0</v>
      </c>
      <c r="D9" s="7"/>
      <c r="E9" s="8">
        <f>IF(A9="",FALSE,P_Referentiels!G7="Oui")</f>
        <v>0</v>
      </c>
      <c r="F9" s="8">
        <f>IF(A9="",FALSE,P_Referentiels!H7="Oui")</f>
        <v>0</v>
      </c>
      <c r="G9" s="8">
        <f>AND(C9,D9&lt;&gt;"Oui")</f>
        <v>0</v>
      </c>
    </row>
    <row r="10" spans="1:7">
      <c r="A10" s="8">
        <f>IF(P_Referentiels!A8="","",P_Referentiels!A8)</f>
        <v>0</v>
      </c>
      <c r="B10" s="8">
        <f>IF(A10="","",P_Referentiels!B8)</f>
        <v>0</v>
      </c>
      <c r="C10" s="8">
        <f>IF(A10="",FALSE,IF($B$5="LOTISSEMENT",P_Referentiels!D8,IF($B$5="CONSTRUCTION",P_Referentiels!E8,P_Referentiels!F8))="Oui")</f>
        <v>0</v>
      </c>
      <c r="D10" s="7"/>
      <c r="E10" s="8">
        <f>IF(A10="",FALSE,P_Referentiels!G8="Oui")</f>
        <v>0</v>
      </c>
      <c r="F10" s="8">
        <f>IF(A10="",FALSE,P_Referentiels!H8="Oui")</f>
        <v>0</v>
      </c>
      <c r="G10" s="8">
        <f>AND(C10,D10&lt;&gt;"Oui")</f>
        <v>0</v>
      </c>
    </row>
    <row r="11" spans="1:7">
      <c r="A11" s="8">
        <f>IF(P_Referentiels!A9="","",P_Referentiels!A9)</f>
        <v>0</v>
      </c>
      <c r="B11" s="8">
        <f>IF(A11="","",P_Referentiels!B9)</f>
        <v>0</v>
      </c>
      <c r="C11" s="8">
        <f>IF(A11="",FALSE,IF($B$5="LOTISSEMENT",P_Referentiels!D9,IF($B$5="CONSTRUCTION",P_Referentiels!E9,P_Referentiels!F9))="Oui")</f>
        <v>0</v>
      </c>
      <c r="D11" s="7"/>
      <c r="E11" s="8">
        <f>IF(A11="",FALSE,P_Referentiels!G9="Oui")</f>
        <v>0</v>
      </c>
      <c r="F11" s="8">
        <f>IF(A11="",FALSE,P_Referentiels!H9="Oui")</f>
        <v>0</v>
      </c>
      <c r="G11" s="8">
        <f>AND(C11,D11&lt;&gt;"Oui")</f>
        <v>0</v>
      </c>
    </row>
    <row r="12" spans="1:7">
      <c r="A12" s="8">
        <f>IF(P_Referentiels!A10="","",P_Referentiels!A10)</f>
        <v>0</v>
      </c>
      <c r="B12" s="8">
        <f>IF(A12="","",P_Referentiels!B10)</f>
        <v>0</v>
      </c>
      <c r="C12" s="8">
        <f>IF(A12="",FALSE,IF($B$5="LOTISSEMENT",P_Referentiels!D10,IF($B$5="CONSTRUCTION",P_Referentiels!E10,P_Referentiels!F10))="Oui")</f>
        <v>0</v>
      </c>
      <c r="D12" s="7"/>
      <c r="E12" s="8">
        <f>IF(A12="",FALSE,P_Referentiels!G10="Oui")</f>
        <v>0</v>
      </c>
      <c r="F12" s="8">
        <f>IF(A12="",FALSE,P_Referentiels!H10="Oui")</f>
        <v>0</v>
      </c>
      <c r="G12" s="8">
        <f>AND(C12,D12&lt;&gt;"Oui")</f>
        <v>0</v>
      </c>
    </row>
    <row r="13" spans="1:7">
      <c r="A13" s="8">
        <f>IF(P_Referentiels!A11="","",P_Referentiels!A11)</f>
        <v>0</v>
      </c>
      <c r="B13" s="8">
        <f>IF(A13="","",P_Referentiels!B11)</f>
        <v>0</v>
      </c>
      <c r="C13" s="8">
        <f>IF(A13="",FALSE,IF($B$5="LOTISSEMENT",P_Referentiels!D11,IF($B$5="CONSTRUCTION",P_Referentiels!E11,P_Referentiels!F11))="Oui")</f>
        <v>0</v>
      </c>
      <c r="D13" s="7"/>
      <c r="E13" s="8">
        <f>IF(A13="",FALSE,P_Referentiels!G11="Oui")</f>
        <v>0</v>
      </c>
      <c r="F13" s="8">
        <f>IF(A13="",FALSE,P_Referentiels!H11="Oui")</f>
        <v>0</v>
      </c>
      <c r="G13" s="8">
        <f>AND(C13,D13&lt;&gt;"Oui")</f>
        <v>0</v>
      </c>
    </row>
    <row r="14" spans="1:7">
      <c r="A14" s="8">
        <f>IF(P_Referentiels!A12="","",P_Referentiels!A12)</f>
        <v>0</v>
      </c>
      <c r="B14" s="8">
        <f>IF(A14="","",P_Referentiels!B12)</f>
        <v>0</v>
      </c>
      <c r="C14" s="8">
        <f>IF(A14="",FALSE,IF($B$5="LOTISSEMENT",P_Referentiels!D12,IF($B$5="CONSTRUCTION",P_Referentiels!E12,P_Referentiels!F12))="Oui")</f>
        <v>0</v>
      </c>
      <c r="D14" s="7"/>
      <c r="E14" s="8">
        <f>IF(A14="",FALSE,P_Referentiels!G12="Oui")</f>
        <v>0</v>
      </c>
      <c r="F14" s="8">
        <f>IF(A14="",FALSE,P_Referentiels!H12="Oui")</f>
        <v>0</v>
      </c>
      <c r="G14" s="8">
        <f>AND(C14,D14&lt;&gt;"Oui")</f>
        <v>0</v>
      </c>
    </row>
    <row r="15" spans="1:7">
      <c r="A15" s="8">
        <f>IF(P_Referentiels!A13="","",P_Referentiels!A13)</f>
        <v>0</v>
      </c>
      <c r="B15" s="8">
        <f>IF(A15="","",P_Referentiels!B13)</f>
        <v>0</v>
      </c>
      <c r="C15" s="8">
        <f>IF(A15="",FALSE,IF($B$5="LOTISSEMENT",P_Referentiels!D13,IF($B$5="CONSTRUCTION",P_Referentiels!E13,P_Referentiels!F13))="Oui")</f>
        <v>0</v>
      </c>
      <c r="D15" s="7"/>
      <c r="E15" s="8">
        <f>IF(A15="",FALSE,P_Referentiels!G13="Oui")</f>
        <v>0</v>
      </c>
      <c r="F15" s="8">
        <f>IF(A15="",FALSE,P_Referentiels!H13="Oui")</f>
        <v>0</v>
      </c>
      <c r="G15" s="8">
        <f>AND(C15,D15&lt;&gt;"Oui")</f>
        <v>0</v>
      </c>
    </row>
    <row r="16" spans="1:7">
      <c r="A16" s="8">
        <f>IF(P_Referentiels!A14="","",P_Referentiels!A14)</f>
        <v>0</v>
      </c>
      <c r="B16" s="8">
        <f>IF(A16="","",P_Referentiels!B14)</f>
        <v>0</v>
      </c>
      <c r="C16" s="8">
        <f>IF(A16="",FALSE,IF($B$5="LOTISSEMENT",P_Referentiels!D14,IF($B$5="CONSTRUCTION",P_Referentiels!E14,P_Referentiels!F14))="Oui")</f>
        <v>0</v>
      </c>
      <c r="D16" s="7"/>
      <c r="E16" s="8">
        <f>IF(A16="",FALSE,P_Referentiels!G14="Oui")</f>
        <v>0</v>
      </c>
      <c r="F16" s="8">
        <f>IF(A16="",FALSE,P_Referentiels!H14="Oui")</f>
        <v>0</v>
      </c>
      <c r="G16" s="8">
        <f>AND(C16,D16&lt;&gt;"Oui")</f>
        <v>0</v>
      </c>
    </row>
    <row r="17" spans="1:7">
      <c r="A17" s="8">
        <f>IF(P_Referentiels!A15="","",P_Referentiels!A15)</f>
        <v>0</v>
      </c>
      <c r="B17" s="8">
        <f>IF(A17="","",P_Referentiels!B15)</f>
        <v>0</v>
      </c>
      <c r="C17" s="8">
        <f>IF(A17="",FALSE,IF($B$5="LOTISSEMENT",P_Referentiels!D15,IF($B$5="CONSTRUCTION",P_Referentiels!E15,P_Referentiels!F15))="Oui")</f>
        <v>0</v>
      </c>
      <c r="D17" s="7"/>
      <c r="E17" s="8">
        <f>IF(A17="",FALSE,P_Referentiels!G15="Oui")</f>
        <v>0</v>
      </c>
      <c r="F17" s="8">
        <f>IF(A17="",FALSE,P_Referentiels!H15="Oui")</f>
        <v>0</v>
      </c>
      <c r="G17" s="8">
        <f>AND(C17,D17&lt;&gt;"Oui")</f>
        <v>0</v>
      </c>
    </row>
    <row r="18" spans="1:7">
      <c r="A18" s="8">
        <f>IF(P_Referentiels!A16="","",P_Referentiels!A16)</f>
        <v>0</v>
      </c>
      <c r="B18" s="8">
        <f>IF(A18="","",P_Referentiels!B16)</f>
        <v>0</v>
      </c>
      <c r="C18" s="8">
        <f>IF(A18="",FALSE,IF($B$5="LOTISSEMENT",P_Referentiels!D16,IF($B$5="CONSTRUCTION",P_Referentiels!E16,P_Referentiels!F16))="Oui")</f>
        <v>0</v>
      </c>
      <c r="D18" s="7"/>
      <c r="E18" s="8">
        <f>IF(A18="",FALSE,P_Referentiels!G16="Oui")</f>
        <v>0</v>
      </c>
      <c r="F18" s="8">
        <f>IF(A18="",FALSE,P_Referentiels!H16="Oui")</f>
        <v>0</v>
      </c>
      <c r="G18" s="8">
        <f>AND(C18,D18&lt;&gt;"Oui")</f>
        <v>0</v>
      </c>
    </row>
    <row r="19" spans="1:7">
      <c r="A19" s="8">
        <f>IF(P_Referentiels!A17="","",P_Referentiels!A17)</f>
        <v>0</v>
      </c>
      <c r="B19" s="8">
        <f>IF(A19="","",P_Referentiels!B17)</f>
        <v>0</v>
      </c>
      <c r="C19" s="8">
        <f>IF(A19="",FALSE,IF($B$5="LOTISSEMENT",P_Referentiels!D17,IF($B$5="CONSTRUCTION",P_Referentiels!E17,P_Referentiels!F17))="Oui")</f>
        <v>0</v>
      </c>
      <c r="D19" s="7"/>
      <c r="E19" s="8">
        <f>IF(A19="",FALSE,P_Referentiels!G17="Oui")</f>
        <v>0</v>
      </c>
      <c r="F19" s="8">
        <f>IF(A19="",FALSE,P_Referentiels!H17="Oui")</f>
        <v>0</v>
      </c>
      <c r="G19" s="8">
        <f>AND(C19,D19&lt;&gt;"Oui")</f>
        <v>0</v>
      </c>
    </row>
    <row r="20" spans="1:7">
      <c r="A20" s="8">
        <f>IF(P_Referentiels!A18="","",P_Referentiels!A18)</f>
        <v>0</v>
      </c>
      <c r="B20" s="8">
        <f>IF(A20="","",P_Referentiels!B18)</f>
        <v>0</v>
      </c>
      <c r="C20" s="8">
        <f>IF(A20="",FALSE,IF($B$5="LOTISSEMENT",P_Referentiels!D18,IF($B$5="CONSTRUCTION",P_Referentiels!E18,P_Referentiels!F18))="Oui")</f>
        <v>0</v>
      </c>
      <c r="D20" s="7"/>
      <c r="E20" s="8">
        <f>IF(A20="",FALSE,P_Referentiels!G18="Oui")</f>
        <v>0</v>
      </c>
      <c r="F20" s="8">
        <f>IF(A20="",FALSE,P_Referentiels!H18="Oui")</f>
        <v>0</v>
      </c>
      <c r="G20" s="8">
        <f>AND(C20,D20&lt;&gt;"Oui")</f>
        <v>0</v>
      </c>
    </row>
    <row r="21" spans="1:7">
      <c r="A21" s="8">
        <f>IF(P_Referentiels!A19="","",P_Referentiels!A19)</f>
        <v>0</v>
      </c>
      <c r="B21" s="8">
        <f>IF(A21="","",P_Referentiels!B19)</f>
        <v>0</v>
      </c>
      <c r="C21" s="8">
        <f>IF(A21="",FALSE,IF($B$5="LOTISSEMENT",P_Referentiels!D19,IF($B$5="CONSTRUCTION",P_Referentiels!E19,P_Referentiels!F19))="Oui")</f>
        <v>0</v>
      </c>
      <c r="D21" s="7"/>
      <c r="E21" s="8">
        <f>IF(A21="",FALSE,P_Referentiels!G19="Oui")</f>
        <v>0</v>
      </c>
      <c r="F21" s="8">
        <f>IF(A21="",FALSE,P_Referentiels!H19="Oui")</f>
        <v>0</v>
      </c>
      <c r="G21" s="8">
        <f>AND(C21,D21&lt;&gt;"Oui")</f>
        <v>0</v>
      </c>
    </row>
    <row r="22" spans="1:7">
      <c r="A22" s="8">
        <f>IF(P_Referentiels!A20="","",P_Referentiels!A20)</f>
        <v>0</v>
      </c>
      <c r="B22" s="8">
        <f>IF(A22="","",P_Referentiels!B20)</f>
        <v>0</v>
      </c>
      <c r="C22" s="8">
        <f>IF(A22="",FALSE,IF($B$5="LOTISSEMENT",P_Referentiels!D20,IF($B$5="CONSTRUCTION",P_Referentiels!E20,P_Referentiels!F20))="Oui")</f>
        <v>0</v>
      </c>
      <c r="D22" s="7"/>
      <c r="E22" s="8">
        <f>IF(A22="",FALSE,P_Referentiels!G20="Oui")</f>
        <v>0</v>
      </c>
      <c r="F22" s="8">
        <f>IF(A22="",FALSE,P_Referentiels!H20="Oui")</f>
        <v>0</v>
      </c>
      <c r="G22" s="8">
        <f>AND(C22,D22&lt;&gt;"Oui")</f>
        <v>0</v>
      </c>
    </row>
    <row r="23" spans="1:7">
      <c r="A23" s="8">
        <f>IF(P_Referentiels!A21="","",P_Referentiels!A21)</f>
        <v>0</v>
      </c>
      <c r="B23" s="8">
        <f>IF(A23="","",P_Referentiels!B21)</f>
        <v>0</v>
      </c>
      <c r="C23" s="8">
        <f>IF(A23="",FALSE,IF($B$5="LOTISSEMENT",P_Referentiels!D21,IF($B$5="CONSTRUCTION",P_Referentiels!E21,P_Referentiels!F21))="Oui")</f>
        <v>0</v>
      </c>
      <c r="D23" s="7"/>
      <c r="E23" s="8">
        <f>IF(A23="",FALSE,P_Referentiels!G21="Oui")</f>
        <v>0</v>
      </c>
      <c r="F23" s="8">
        <f>IF(A23="",FALSE,P_Referentiels!H21="Oui")</f>
        <v>0</v>
      </c>
      <c r="G23" s="8">
        <f>AND(C23,D23&lt;&gt;"Oui")</f>
        <v>0</v>
      </c>
    </row>
    <row r="24" spans="1:7">
      <c r="A24" s="8">
        <f>IF(P_Referentiels!A22="","",P_Referentiels!A22)</f>
        <v>0</v>
      </c>
      <c r="B24" s="8">
        <f>IF(A24="","",P_Referentiels!B22)</f>
        <v>0</v>
      </c>
      <c r="C24" s="8">
        <f>IF(A24="",FALSE,IF($B$5="LOTISSEMENT",P_Referentiels!D22,IF($B$5="CONSTRUCTION",P_Referentiels!E22,P_Referentiels!F22))="Oui")</f>
        <v>0</v>
      </c>
      <c r="D24" s="7"/>
      <c r="E24" s="8">
        <f>IF(A24="",FALSE,P_Referentiels!G22="Oui")</f>
        <v>0</v>
      </c>
      <c r="F24" s="8">
        <f>IF(A24="",FALSE,P_Referentiels!H22="Oui")</f>
        <v>0</v>
      </c>
      <c r="G24" s="8">
        <f>AND(C24,D24&lt;&gt;"Oui")</f>
        <v>0</v>
      </c>
    </row>
    <row r="25" spans="1:7">
      <c r="A25" s="8">
        <f>IF(P_Referentiels!A23="","",P_Referentiels!A23)</f>
        <v>0</v>
      </c>
      <c r="B25" s="8">
        <f>IF(A25="","",P_Referentiels!B23)</f>
        <v>0</v>
      </c>
      <c r="C25" s="8">
        <f>IF(A25="",FALSE,IF($B$5="LOTISSEMENT",P_Referentiels!D23,IF($B$5="CONSTRUCTION",P_Referentiels!E23,P_Referentiels!F23))="Oui")</f>
        <v>0</v>
      </c>
      <c r="D25" s="7"/>
      <c r="E25" s="8">
        <f>IF(A25="",FALSE,P_Referentiels!G23="Oui")</f>
        <v>0</v>
      </c>
      <c r="F25" s="8">
        <f>IF(A25="",FALSE,P_Referentiels!H23="Oui")</f>
        <v>0</v>
      </c>
      <c r="G25" s="8">
        <f>AND(C25,D25&lt;&gt;"Oui")</f>
        <v>0</v>
      </c>
    </row>
    <row r="26" spans="1:7">
      <c r="A26" s="8">
        <f>IF(P_Referentiels!A24="","",P_Referentiels!A24)</f>
        <v>0</v>
      </c>
      <c r="B26" s="8">
        <f>IF(A26="","",P_Referentiels!B24)</f>
        <v>0</v>
      </c>
      <c r="C26" s="8">
        <f>IF(A26="",FALSE,IF($B$5="LOTISSEMENT",P_Referentiels!D24,IF($B$5="CONSTRUCTION",P_Referentiels!E24,P_Referentiels!F24))="Oui")</f>
        <v>0</v>
      </c>
      <c r="D26" s="7"/>
      <c r="E26" s="8">
        <f>IF(A26="",FALSE,P_Referentiels!G24="Oui")</f>
        <v>0</v>
      </c>
      <c r="F26" s="8">
        <f>IF(A26="",FALSE,P_Referentiels!H24="Oui")</f>
        <v>0</v>
      </c>
      <c r="G26" s="8">
        <f>AND(C26,D26&lt;&gt;"Oui")</f>
        <v>0</v>
      </c>
    </row>
    <row r="27" spans="1:7">
      <c r="A27" s="8">
        <f>IF(P_Referentiels!A25="","",P_Referentiels!A25)</f>
        <v>0</v>
      </c>
      <c r="B27" s="8">
        <f>IF(A27="","",P_Referentiels!B25)</f>
        <v>0</v>
      </c>
      <c r="C27" s="8">
        <f>IF(A27="",FALSE,IF($B$5="LOTISSEMENT",P_Referentiels!D25,IF($B$5="CONSTRUCTION",P_Referentiels!E25,P_Referentiels!F25))="Oui")</f>
        <v>0</v>
      </c>
      <c r="D27" s="7"/>
      <c r="E27" s="8">
        <f>IF(A27="",FALSE,P_Referentiels!G25="Oui")</f>
        <v>0</v>
      </c>
      <c r="F27" s="8">
        <f>IF(A27="",FALSE,P_Referentiels!H25="Oui")</f>
        <v>0</v>
      </c>
      <c r="G27" s="8">
        <f>AND(C27,D27&lt;&gt;"Oui")</f>
        <v>0</v>
      </c>
    </row>
    <row r="28" spans="1:7">
      <c r="A28" s="8">
        <f>IF(P_Referentiels!A26="","",P_Referentiels!A26)</f>
        <v>0</v>
      </c>
      <c r="B28" s="8">
        <f>IF(A28="","",P_Referentiels!B26)</f>
        <v>0</v>
      </c>
      <c r="C28" s="8">
        <f>IF(A28="",FALSE,IF($B$5="LOTISSEMENT",P_Referentiels!D26,IF($B$5="CONSTRUCTION",P_Referentiels!E26,P_Referentiels!F26))="Oui")</f>
        <v>0</v>
      </c>
      <c r="D28" s="7"/>
      <c r="E28" s="8">
        <f>IF(A28="",FALSE,P_Referentiels!G26="Oui")</f>
        <v>0</v>
      </c>
      <c r="F28" s="8">
        <f>IF(A28="",FALSE,P_Referentiels!H26="Oui")</f>
        <v>0</v>
      </c>
      <c r="G28" s="8">
        <f>AND(C28,D28&lt;&gt;"Oui")</f>
        <v>0</v>
      </c>
    </row>
    <row r="29" spans="1:7">
      <c r="A29" s="8">
        <f>IF(P_Referentiels!A27="","",P_Referentiels!A27)</f>
        <v>0</v>
      </c>
      <c r="B29" s="8">
        <f>IF(A29="","",P_Referentiels!B27)</f>
        <v>0</v>
      </c>
      <c r="C29" s="8">
        <f>IF(A29="",FALSE,IF($B$5="LOTISSEMENT",P_Referentiels!D27,IF($B$5="CONSTRUCTION",P_Referentiels!E27,P_Referentiels!F27))="Oui")</f>
        <v>0</v>
      </c>
      <c r="D29" s="7"/>
      <c r="E29" s="8">
        <f>IF(A29="",FALSE,P_Referentiels!G27="Oui")</f>
        <v>0</v>
      </c>
      <c r="F29" s="8">
        <f>IF(A29="",FALSE,P_Referentiels!H27="Oui")</f>
        <v>0</v>
      </c>
      <c r="G29" s="8">
        <f>AND(C29,D29&lt;&gt;"Oui")</f>
        <v>0</v>
      </c>
    </row>
    <row r="30" spans="1:7">
      <c r="A30" s="8">
        <f>IF(P_Referentiels!A28="","",P_Referentiels!A28)</f>
        <v>0</v>
      </c>
      <c r="B30" s="8">
        <f>IF(A30="","",P_Referentiels!B28)</f>
        <v>0</v>
      </c>
      <c r="C30" s="8">
        <f>IF(A30="",FALSE,IF($B$5="LOTISSEMENT",P_Referentiels!D28,IF($B$5="CONSTRUCTION",P_Referentiels!E28,P_Referentiels!F28))="Oui")</f>
        <v>0</v>
      </c>
      <c r="D30" s="7"/>
      <c r="E30" s="8">
        <f>IF(A30="",FALSE,P_Referentiels!G28="Oui")</f>
        <v>0</v>
      </c>
      <c r="F30" s="8">
        <f>IF(A30="",FALSE,P_Referentiels!H28="Oui")</f>
        <v>0</v>
      </c>
      <c r="G30" s="8">
        <f>AND(C30,D30&lt;&gt;"Oui")</f>
        <v>0</v>
      </c>
    </row>
    <row r="31" spans="1:7">
      <c r="A31" s="8">
        <f>IF(P_Referentiels!A29="","",P_Referentiels!A29)</f>
        <v>0</v>
      </c>
      <c r="B31" s="8">
        <f>IF(A31="","",P_Referentiels!B29)</f>
        <v>0</v>
      </c>
      <c r="C31" s="8">
        <f>IF(A31="",FALSE,IF($B$5="LOTISSEMENT",P_Referentiels!D29,IF($B$5="CONSTRUCTION",P_Referentiels!E29,P_Referentiels!F29))="Oui")</f>
        <v>0</v>
      </c>
      <c r="D31" s="7"/>
      <c r="E31" s="8">
        <f>IF(A31="",FALSE,P_Referentiels!G29="Oui")</f>
        <v>0</v>
      </c>
      <c r="F31" s="8">
        <f>IF(A31="",FALSE,P_Referentiels!H29="Oui")</f>
        <v>0</v>
      </c>
      <c r="G31" s="8">
        <f>AND(C31,D31&lt;&gt;"Oui")</f>
        <v>0</v>
      </c>
    </row>
    <row r="33" spans="1:7">
      <c r="A33" s="6" t="s">
        <v>500</v>
      </c>
      <c r="C33" s="16">
        <f>IF(SUMPRODUCT((C8:C31=TRUE)*1)=0,100,ROUND(SUMPRODUCT((C8:C31=TRUE)*(D8:D31="Oui"))/SUMPRODUCT((C8:C31=TRUE)*1)*100,2))</f>
        <v>0</v>
      </c>
    </row>
    <row r="34" spans="1:7">
      <c r="A34" s="6" t="s">
        <v>501</v>
      </c>
      <c r="C34" s="8">
        <f>SUMPRODUCT((G8:G31=TRUE)*(E8:E31=TRUE))&gt;0</f>
        <v>0</v>
      </c>
    </row>
    <row r="35" spans="1:7">
      <c r="A35" s="6" t="s">
        <v>502</v>
      </c>
      <c r="C35" s="8">
        <f>COUNTIF(D8:D31,"Oui")+COUNTIF(D8:D31,"Non")&gt;0</f>
        <v>0</v>
      </c>
    </row>
    <row r="38" spans="1:7">
      <c r="A38" s="5" t="s">
        <v>503</v>
      </c>
    </row>
    <row r="39" spans="1:7">
      <c r="A39" s="6" t="s">
        <v>504</v>
      </c>
      <c r="C39" s="7"/>
      <c r="D39" s="17" t="s">
        <v>505</v>
      </c>
    </row>
    <row r="41" spans="1:7">
      <c r="A41" s="10" t="s">
        <v>506</v>
      </c>
      <c r="B41" s="10" t="s">
        <v>507</v>
      </c>
      <c r="C41" s="10" t="s">
        <v>508</v>
      </c>
      <c r="D41" s="10" t="s">
        <v>509</v>
      </c>
      <c r="E41" s="10" t="s">
        <v>510</v>
      </c>
      <c r="F41" s="10" t="s">
        <v>511</v>
      </c>
      <c r="G41" s="10" t="s">
        <v>512</v>
      </c>
    </row>
    <row r="42" spans="1:7">
      <c r="A42" s="7"/>
      <c r="B42" s="7"/>
      <c r="C42" s="7"/>
      <c r="D42" s="7"/>
      <c r="E42" s="16">
        <f>IF(B42="",0,IFERROR(VLOOKUP(B42,R_FinTbl,3,FALSE),0.2))</f>
        <v>0</v>
      </c>
      <c r="F42" s="8">
        <f>B42&lt;&gt;""</f>
        <v>0</v>
      </c>
      <c r="G42" s="8">
        <f>AND(B42&lt;&gt;"",D42&lt;&gt;"Non",E42&lt;=0.4)</f>
        <v>0</v>
      </c>
    </row>
    <row r="43" spans="1:7">
      <c r="A43" s="7"/>
      <c r="B43" s="7"/>
      <c r="C43" s="7"/>
      <c r="D43" s="7"/>
      <c r="E43" s="16">
        <f>IF(B43="",0,IFERROR(VLOOKUP(B43,R_FinTbl,3,FALSE),0.2))</f>
        <v>0</v>
      </c>
      <c r="F43" s="8">
        <f>B43&lt;&gt;""</f>
        <v>0</v>
      </c>
      <c r="G43" s="8">
        <f>AND(B43&lt;&gt;"",D43&lt;&gt;"Non",E43&lt;=0.4)</f>
        <v>0</v>
      </c>
    </row>
    <row r="44" spans="1:7">
      <c r="A44" s="7"/>
      <c r="B44" s="7"/>
      <c r="C44" s="7"/>
      <c r="D44" s="7"/>
      <c r="E44" s="16">
        <f>IF(B44="",0,IFERROR(VLOOKUP(B44,R_FinTbl,3,FALSE),0.2))</f>
        <v>0</v>
      </c>
      <c r="F44" s="8">
        <f>B44&lt;&gt;""</f>
        <v>0</v>
      </c>
      <c r="G44" s="8">
        <f>AND(B44&lt;&gt;"",D44&lt;&gt;"Non",E44&lt;=0.4)</f>
        <v>0</v>
      </c>
    </row>
    <row r="45" spans="1:7">
      <c r="A45" s="7"/>
      <c r="B45" s="7"/>
      <c r="C45" s="7"/>
      <c r="D45" s="7"/>
      <c r="E45" s="16">
        <f>IF(B45="",0,IFERROR(VLOOKUP(B45,R_FinTbl,3,FALSE),0.2))</f>
        <v>0</v>
      </c>
      <c r="F45" s="8">
        <f>B45&lt;&gt;""</f>
        <v>0</v>
      </c>
      <c r="G45" s="8">
        <f>AND(B45&lt;&gt;"",D45&lt;&gt;"Non",E45&lt;=0.4)</f>
        <v>0</v>
      </c>
    </row>
    <row r="46" spans="1:7">
      <c r="A46" s="7"/>
      <c r="B46" s="7"/>
      <c r="C46" s="7"/>
      <c r="D46" s="7"/>
      <c r="E46" s="16">
        <f>IF(B46="",0,IFERROR(VLOOKUP(B46,R_FinTbl,3,FALSE),0.2))</f>
        <v>0</v>
      </c>
      <c r="F46" s="8">
        <f>B46&lt;&gt;""</f>
        <v>0</v>
      </c>
      <c r="G46" s="8">
        <f>AND(B46&lt;&gt;"",D46&lt;&gt;"Non",E46&lt;=0.4)</f>
        <v>0</v>
      </c>
    </row>
    <row r="47" spans="1:7">
      <c r="A47" s="7"/>
      <c r="B47" s="7"/>
      <c r="C47" s="7"/>
      <c r="D47" s="7"/>
      <c r="E47" s="16">
        <f>IF(B47="",0,IFERROR(VLOOKUP(B47,R_FinTbl,3,FALSE),0.2))</f>
        <v>0</v>
      </c>
      <c r="F47" s="8">
        <f>B47&lt;&gt;""</f>
        <v>0</v>
      </c>
      <c r="G47" s="8">
        <f>AND(B47&lt;&gt;"",D47&lt;&gt;"Non",E47&lt;=0.4)</f>
        <v>0</v>
      </c>
    </row>
    <row r="48" spans="1:7">
      <c r="A48" s="7"/>
      <c r="B48" s="7"/>
      <c r="C48" s="7"/>
      <c r="D48" s="7"/>
      <c r="E48" s="16">
        <f>IF(B48="",0,IFERROR(VLOOKUP(B48,R_FinTbl,3,FALSE),0.2))</f>
        <v>0</v>
      </c>
      <c r="F48" s="8">
        <f>B48&lt;&gt;""</f>
        <v>0</v>
      </c>
      <c r="G48" s="8">
        <f>AND(B48&lt;&gt;"",D48&lt;&gt;"Non",E48&lt;=0.4)</f>
        <v>0</v>
      </c>
    </row>
    <row r="49" spans="1:7">
      <c r="A49" s="7"/>
      <c r="B49" s="7"/>
      <c r="C49" s="7"/>
      <c r="D49" s="7"/>
      <c r="E49" s="16">
        <f>IF(B49="",0,IFERROR(VLOOKUP(B49,R_FinTbl,3,FALSE),0.2))</f>
        <v>0</v>
      </c>
      <c r="F49" s="8">
        <f>B49&lt;&gt;""</f>
        <v>0</v>
      </c>
      <c r="G49" s="8">
        <f>AND(B49&lt;&gt;"",D49&lt;&gt;"Non",E49&lt;=0.4)</f>
        <v>0</v>
      </c>
    </row>
    <row r="50" spans="1:7">
      <c r="A50" s="7"/>
      <c r="B50" s="7"/>
      <c r="C50" s="7"/>
      <c r="D50" s="7"/>
      <c r="E50" s="16">
        <f>IF(B50="",0,IFERROR(VLOOKUP(B50,R_FinTbl,3,FALSE),0.2))</f>
        <v>0</v>
      </c>
      <c r="F50" s="8">
        <f>B50&lt;&gt;""</f>
        <v>0</v>
      </c>
      <c r="G50" s="8">
        <f>AND(B50&lt;&gt;"",D50&lt;&gt;"Non",E50&lt;=0.4)</f>
        <v>0</v>
      </c>
    </row>
    <row r="51" spans="1:7">
      <c r="A51" s="7"/>
      <c r="B51" s="7"/>
      <c r="C51" s="7"/>
      <c r="D51" s="7"/>
      <c r="E51" s="16">
        <f>IF(B51="",0,IFERROR(VLOOKUP(B51,R_FinTbl,3,FALSE),0.2))</f>
        <v>0</v>
      </c>
      <c r="F51" s="8">
        <f>B51&lt;&gt;""</f>
        <v>0</v>
      </c>
      <c r="G51" s="8">
        <f>AND(B51&lt;&gt;"",D51&lt;&gt;"Non",E51&lt;=0.4)</f>
        <v>0</v>
      </c>
    </row>
    <row r="52" spans="1:7">
      <c r="A52" s="7"/>
      <c r="B52" s="7"/>
      <c r="C52" s="7"/>
      <c r="D52" s="7"/>
      <c r="E52" s="16">
        <f>IF(B52="",0,IFERROR(VLOOKUP(B52,R_FinTbl,3,FALSE),0.2))</f>
        <v>0</v>
      </c>
      <c r="F52" s="8">
        <f>B52&lt;&gt;""</f>
        <v>0</v>
      </c>
      <c r="G52" s="8">
        <f>AND(B52&lt;&gt;"",D52&lt;&gt;"Non",E52&lt;=0.4)</f>
        <v>0</v>
      </c>
    </row>
    <row r="53" spans="1:7">
      <c r="A53" s="7"/>
      <c r="B53" s="7"/>
      <c r="C53" s="7"/>
      <c r="D53" s="7"/>
      <c r="E53" s="16">
        <f>IF(B53="",0,IFERROR(VLOOKUP(B53,R_FinTbl,3,FALSE),0.2))</f>
        <v>0</v>
      </c>
      <c r="F53" s="8">
        <f>B53&lt;&gt;""</f>
        <v>0</v>
      </c>
      <c r="G53" s="8">
        <f>AND(B53&lt;&gt;"",D53&lt;&gt;"Non",E53&lt;=0.4)</f>
        <v>0</v>
      </c>
    </row>
    <row r="54" spans="1:7">
      <c r="A54" s="7"/>
      <c r="B54" s="7"/>
      <c r="C54" s="7"/>
      <c r="D54" s="7"/>
      <c r="E54" s="16">
        <f>IF(B54="",0,IFERROR(VLOOKUP(B54,R_FinTbl,3,FALSE),0.2))</f>
        <v>0</v>
      </c>
      <c r="F54" s="8">
        <f>B54&lt;&gt;""</f>
        <v>0</v>
      </c>
      <c r="G54" s="8">
        <f>AND(B54&lt;&gt;"",D54&lt;&gt;"Non",E54&lt;=0.4)</f>
        <v>0</v>
      </c>
    </row>
    <row r="55" spans="1:7">
      <c r="A55" s="7"/>
      <c r="B55" s="7"/>
      <c r="C55" s="7"/>
      <c r="D55" s="7"/>
      <c r="E55" s="16">
        <f>IF(B55="",0,IFERROR(VLOOKUP(B55,R_FinTbl,3,FALSE),0.2))</f>
        <v>0</v>
      </c>
      <c r="F55" s="8">
        <f>B55&lt;&gt;""</f>
        <v>0</v>
      </c>
      <c r="G55" s="8">
        <f>AND(B55&lt;&gt;"",D55&lt;&gt;"Non",E55&lt;=0.4)</f>
        <v>0</v>
      </c>
    </row>
    <row r="56" spans="1:7">
      <c r="A56" s="7"/>
      <c r="B56" s="7"/>
      <c r="C56" s="7"/>
      <c r="D56" s="7"/>
      <c r="E56" s="16">
        <f>IF(B56="",0,IFERROR(VLOOKUP(B56,R_FinTbl,3,FALSE),0.2))</f>
        <v>0</v>
      </c>
      <c r="F56" s="8">
        <f>B56&lt;&gt;""</f>
        <v>0</v>
      </c>
      <c r="G56" s="8">
        <f>AND(B56&lt;&gt;"",D56&lt;&gt;"Non",E56&lt;=0.4)</f>
        <v>0</v>
      </c>
    </row>
    <row r="57" spans="1:7">
      <c r="A57" s="7"/>
      <c r="B57" s="7"/>
      <c r="C57" s="7"/>
      <c r="D57" s="7"/>
      <c r="E57" s="16">
        <f>IF(B57="",0,IFERROR(VLOOKUP(B57,R_FinTbl,3,FALSE),0.2))</f>
        <v>0</v>
      </c>
      <c r="F57" s="8">
        <f>B57&lt;&gt;""</f>
        <v>0</v>
      </c>
      <c r="G57" s="8">
        <f>AND(B57&lt;&gt;"",D57&lt;&gt;"Non",E57&lt;=0.4)</f>
        <v>0</v>
      </c>
    </row>
    <row r="58" spans="1:7">
      <c r="A58" s="7"/>
      <c r="B58" s="7"/>
      <c r="C58" s="7"/>
      <c r="D58" s="7"/>
      <c r="E58" s="16">
        <f>IF(B58="",0,IFERROR(VLOOKUP(B58,R_FinTbl,3,FALSE),0.2))</f>
        <v>0</v>
      </c>
      <c r="F58" s="8">
        <f>B58&lt;&gt;""</f>
        <v>0</v>
      </c>
      <c r="G58" s="8">
        <f>AND(B58&lt;&gt;"",D58&lt;&gt;"Non",E58&lt;=0.4)</f>
        <v>0</v>
      </c>
    </row>
    <row r="59" spans="1:7">
      <c r="A59" s="7"/>
      <c r="B59" s="7"/>
      <c r="C59" s="7"/>
      <c r="D59" s="7"/>
      <c r="E59" s="16">
        <f>IF(B59="",0,IFERROR(VLOOKUP(B59,R_FinTbl,3,FALSE),0.2))</f>
        <v>0</v>
      </c>
      <c r="F59" s="8">
        <f>B59&lt;&gt;""</f>
        <v>0</v>
      </c>
      <c r="G59" s="8">
        <f>AND(B59&lt;&gt;"",D59&lt;&gt;"Non",E59&lt;=0.4)</f>
        <v>0</v>
      </c>
    </row>
    <row r="60" spans="1:7">
      <c r="A60" s="7"/>
      <c r="B60" s="7"/>
      <c r="C60" s="7"/>
      <c r="D60" s="7"/>
      <c r="E60" s="16">
        <f>IF(B60="",0,IFERROR(VLOOKUP(B60,R_FinTbl,3,FALSE),0.2))</f>
        <v>0</v>
      </c>
      <c r="F60" s="8">
        <f>B60&lt;&gt;""</f>
        <v>0</v>
      </c>
      <c r="G60" s="8">
        <f>AND(B60&lt;&gt;"",D60&lt;&gt;"Non",E60&lt;=0.4)</f>
        <v>0</v>
      </c>
    </row>
    <row r="61" spans="1:7">
      <c r="A61" s="7"/>
      <c r="B61" s="7"/>
      <c r="C61" s="7"/>
      <c r="D61" s="7"/>
      <c r="E61" s="16">
        <f>IF(B61="",0,IFERROR(VLOOKUP(B61,R_FinTbl,3,FALSE),0.2))</f>
        <v>0</v>
      </c>
      <c r="F61" s="8">
        <f>B61&lt;&gt;""</f>
        <v>0</v>
      </c>
      <c r="G61" s="8">
        <f>AND(B61&lt;&gt;"",D61&lt;&gt;"Non",E61&lt;=0.4)</f>
        <v>0</v>
      </c>
    </row>
    <row r="62" spans="1:7">
      <c r="A62" s="7"/>
      <c r="B62" s="7"/>
      <c r="C62" s="7"/>
      <c r="D62" s="7"/>
      <c r="E62" s="16">
        <f>IF(B62="",0,IFERROR(VLOOKUP(B62,R_FinTbl,3,FALSE),0.2))</f>
        <v>0</v>
      </c>
      <c r="F62" s="8">
        <f>B62&lt;&gt;""</f>
        <v>0</v>
      </c>
      <c r="G62" s="8">
        <f>AND(B62&lt;&gt;"",D62&lt;&gt;"Non",E62&lt;=0.4)</f>
        <v>0</v>
      </c>
    </row>
    <row r="63" spans="1:7">
      <c r="A63" s="7"/>
      <c r="B63" s="7"/>
      <c r="C63" s="7"/>
      <c r="D63" s="7"/>
      <c r="E63" s="16">
        <f>IF(B63="",0,IFERROR(VLOOKUP(B63,R_FinTbl,3,FALSE),0.2))</f>
        <v>0</v>
      </c>
      <c r="F63" s="8">
        <f>B63&lt;&gt;""</f>
        <v>0</v>
      </c>
      <c r="G63" s="8">
        <f>AND(B63&lt;&gt;"",D63&lt;&gt;"Non",E63&lt;=0.4)</f>
        <v>0</v>
      </c>
    </row>
    <row r="64" spans="1:7">
      <c r="A64" s="7"/>
      <c r="B64" s="7"/>
      <c r="C64" s="7"/>
      <c r="D64" s="7"/>
      <c r="E64" s="16">
        <f>IF(B64="",0,IFERROR(VLOOKUP(B64,R_FinTbl,3,FALSE),0.2))</f>
        <v>0</v>
      </c>
      <c r="F64" s="8">
        <f>B64&lt;&gt;""</f>
        <v>0</v>
      </c>
      <c r="G64" s="8">
        <f>AND(B64&lt;&gt;"",D64&lt;&gt;"Non",E64&lt;=0.4)</f>
        <v>0</v>
      </c>
    </row>
    <row r="65" spans="1:7">
      <c r="A65" s="7"/>
      <c r="B65" s="7"/>
      <c r="C65" s="7"/>
      <c r="D65" s="7"/>
      <c r="E65" s="16">
        <f>IF(B65="",0,IFERROR(VLOOKUP(B65,R_FinTbl,3,FALSE),0.2))</f>
        <v>0</v>
      </c>
      <c r="F65" s="8">
        <f>B65&lt;&gt;""</f>
        <v>0</v>
      </c>
      <c r="G65" s="8">
        <f>AND(B65&lt;&gt;"",D65&lt;&gt;"Non",E65&lt;=0.4)</f>
        <v>0</v>
      </c>
    </row>
    <row r="66" spans="1:7">
      <c r="A66" s="7"/>
      <c r="B66" s="7"/>
      <c r="C66" s="7"/>
      <c r="D66" s="7"/>
      <c r="E66" s="16">
        <f>IF(B66="",0,IFERROR(VLOOKUP(B66,R_FinTbl,3,FALSE),0.2))</f>
        <v>0</v>
      </c>
      <c r="F66" s="8">
        <f>B66&lt;&gt;""</f>
        <v>0</v>
      </c>
      <c r="G66" s="8">
        <f>AND(B66&lt;&gt;"",D66&lt;&gt;"Non",E66&lt;=0.4)</f>
        <v>0</v>
      </c>
    </row>
    <row r="67" spans="1:7">
      <c r="A67" s="7"/>
      <c r="B67" s="7"/>
      <c r="C67" s="7"/>
      <c r="D67" s="7"/>
      <c r="E67" s="16">
        <f>IF(B67="",0,IFERROR(VLOOKUP(B67,R_FinTbl,3,FALSE),0.2))</f>
        <v>0</v>
      </c>
      <c r="F67" s="8">
        <f>B67&lt;&gt;""</f>
        <v>0</v>
      </c>
      <c r="G67" s="8">
        <f>AND(B67&lt;&gt;"",D67&lt;&gt;"Non",E67&lt;=0.4)</f>
        <v>0</v>
      </c>
    </row>
    <row r="68" spans="1:7">
      <c r="A68" s="7"/>
      <c r="B68" s="7"/>
      <c r="C68" s="7"/>
      <c r="D68" s="7"/>
      <c r="E68" s="16">
        <f>IF(B68="",0,IFERROR(VLOOKUP(B68,R_FinTbl,3,FALSE),0.2))</f>
        <v>0</v>
      </c>
      <c r="F68" s="8">
        <f>B68&lt;&gt;""</f>
        <v>0</v>
      </c>
      <c r="G68" s="8">
        <f>AND(B68&lt;&gt;"",D68&lt;&gt;"Non",E68&lt;=0.4)</f>
        <v>0</v>
      </c>
    </row>
    <row r="69" spans="1:7">
      <c r="A69" s="7"/>
      <c r="B69" s="7"/>
      <c r="C69" s="7"/>
      <c r="D69" s="7"/>
      <c r="E69" s="16">
        <f>IF(B69="",0,IFERROR(VLOOKUP(B69,R_FinTbl,3,FALSE),0.2))</f>
        <v>0</v>
      </c>
      <c r="F69" s="8">
        <f>B69&lt;&gt;""</f>
        <v>0</v>
      </c>
      <c r="G69" s="8">
        <f>AND(B69&lt;&gt;"",D69&lt;&gt;"Non",E69&lt;=0.4)</f>
        <v>0</v>
      </c>
    </row>
    <row r="70" spans="1:7">
      <c r="A70" s="7"/>
      <c r="B70" s="7"/>
      <c r="C70" s="7"/>
      <c r="D70" s="7"/>
      <c r="E70" s="16">
        <f>IF(B70="",0,IFERROR(VLOOKUP(B70,R_FinTbl,3,FALSE),0.2))</f>
        <v>0</v>
      </c>
      <c r="F70" s="8">
        <f>B70&lt;&gt;""</f>
        <v>0</v>
      </c>
      <c r="G70" s="8">
        <f>AND(B70&lt;&gt;"",D70&lt;&gt;"Non",E70&lt;=0.4)</f>
        <v>0</v>
      </c>
    </row>
    <row r="71" spans="1:7">
      <c r="A71" s="7"/>
      <c r="B71" s="7"/>
      <c r="C71" s="7"/>
      <c r="D71" s="7"/>
      <c r="E71" s="16">
        <f>IF(B71="",0,IFERROR(VLOOKUP(B71,R_FinTbl,3,FALSE),0.2))</f>
        <v>0</v>
      </c>
      <c r="F71" s="8">
        <f>B71&lt;&gt;""</f>
        <v>0</v>
      </c>
      <c r="G71" s="8">
        <f>AND(B71&lt;&gt;"",D71&lt;&gt;"Non",E71&lt;=0.4)</f>
        <v>0</v>
      </c>
    </row>
    <row r="72" spans="1:7">
      <c r="A72" s="7"/>
      <c r="B72" s="7"/>
      <c r="C72" s="7"/>
      <c r="D72" s="7"/>
      <c r="E72" s="16">
        <f>IF(B72="",0,IFERROR(VLOOKUP(B72,R_FinTbl,3,FALSE),0.2))</f>
        <v>0</v>
      </c>
      <c r="F72" s="8">
        <f>B72&lt;&gt;""</f>
        <v>0</v>
      </c>
      <c r="G72" s="8">
        <f>AND(B72&lt;&gt;"",D72&lt;&gt;"Non",E72&lt;=0.4)</f>
        <v>0</v>
      </c>
    </row>
    <row r="73" spans="1:7">
      <c r="A73" s="7"/>
      <c r="B73" s="7"/>
      <c r="C73" s="7"/>
      <c r="D73" s="7"/>
      <c r="E73" s="16">
        <f>IF(B73="",0,IFERROR(VLOOKUP(B73,R_FinTbl,3,FALSE),0.2))</f>
        <v>0</v>
      </c>
      <c r="F73" s="8">
        <f>B73&lt;&gt;""</f>
        <v>0</v>
      </c>
      <c r="G73" s="8">
        <f>AND(B73&lt;&gt;"",D73&lt;&gt;"Non",E73&lt;=0.4)</f>
        <v>0</v>
      </c>
    </row>
    <row r="74" spans="1:7">
      <c r="A74" s="7"/>
      <c r="B74" s="7"/>
      <c r="C74" s="7"/>
      <c r="D74" s="7"/>
      <c r="E74" s="16">
        <f>IF(B74="",0,IFERROR(VLOOKUP(B74,R_FinTbl,3,FALSE),0.2))</f>
        <v>0</v>
      </c>
      <c r="F74" s="8">
        <f>B74&lt;&gt;""</f>
        <v>0</v>
      </c>
      <c r="G74" s="8">
        <f>AND(B74&lt;&gt;"",D74&lt;&gt;"Non",E74&lt;=0.4)</f>
        <v>0</v>
      </c>
    </row>
    <row r="75" spans="1:7">
      <c r="A75" s="7"/>
      <c r="B75" s="7"/>
      <c r="C75" s="7"/>
      <c r="D75" s="7"/>
      <c r="E75" s="16">
        <f>IF(B75="",0,IFERROR(VLOOKUP(B75,R_FinTbl,3,FALSE),0.2))</f>
        <v>0</v>
      </c>
      <c r="F75" s="8">
        <f>B75&lt;&gt;""</f>
        <v>0</v>
      </c>
      <c r="G75" s="8">
        <f>AND(B75&lt;&gt;"",D75&lt;&gt;"Non",E75&lt;=0.4)</f>
        <v>0</v>
      </c>
    </row>
    <row r="76" spans="1:7">
      <c r="A76" s="7"/>
      <c r="B76" s="7"/>
      <c r="C76" s="7"/>
      <c r="D76" s="7"/>
      <c r="E76" s="16">
        <f>IF(B76="",0,IFERROR(VLOOKUP(B76,R_FinTbl,3,FALSE),0.2))</f>
        <v>0</v>
      </c>
      <c r="F76" s="8">
        <f>B76&lt;&gt;""</f>
        <v>0</v>
      </c>
      <c r="G76" s="8">
        <f>AND(B76&lt;&gt;"",D76&lt;&gt;"Non",E76&lt;=0.4)</f>
        <v>0</v>
      </c>
    </row>
    <row r="77" spans="1:7">
      <c r="A77" s="7"/>
      <c r="B77" s="7"/>
      <c r="C77" s="7"/>
      <c r="D77" s="7"/>
      <c r="E77" s="16">
        <f>IF(B77="",0,IFERROR(VLOOKUP(B77,R_FinTbl,3,FALSE),0.2))</f>
        <v>0</v>
      </c>
      <c r="F77" s="8">
        <f>B77&lt;&gt;""</f>
        <v>0</v>
      </c>
      <c r="G77" s="8">
        <f>AND(B77&lt;&gt;"",D77&lt;&gt;"Non",E77&lt;=0.4)</f>
        <v>0</v>
      </c>
    </row>
    <row r="78" spans="1:7">
      <c r="A78" s="7"/>
      <c r="B78" s="7"/>
      <c r="C78" s="7"/>
      <c r="D78" s="7"/>
      <c r="E78" s="16">
        <f>IF(B78="",0,IFERROR(VLOOKUP(B78,R_FinTbl,3,FALSE),0.2))</f>
        <v>0</v>
      </c>
      <c r="F78" s="8">
        <f>B78&lt;&gt;""</f>
        <v>0</v>
      </c>
      <c r="G78" s="8">
        <f>AND(B78&lt;&gt;"",D78&lt;&gt;"Non",E78&lt;=0.4)</f>
        <v>0</v>
      </c>
    </row>
    <row r="79" spans="1:7">
      <c r="A79" s="7"/>
      <c r="B79" s="7"/>
      <c r="C79" s="7"/>
      <c r="D79" s="7"/>
      <c r="E79" s="16">
        <f>IF(B79="",0,IFERROR(VLOOKUP(B79,R_FinTbl,3,FALSE),0.2))</f>
        <v>0</v>
      </c>
      <c r="F79" s="8">
        <f>B79&lt;&gt;""</f>
        <v>0</v>
      </c>
      <c r="G79" s="8">
        <f>AND(B79&lt;&gt;"",D79&lt;&gt;"Non",E79&lt;=0.4)</f>
        <v>0</v>
      </c>
    </row>
    <row r="80" spans="1:7">
      <c r="A80" s="7"/>
      <c r="B80" s="7"/>
      <c r="C80" s="7"/>
      <c r="D80" s="7"/>
      <c r="E80" s="16">
        <f>IF(B80="",0,IFERROR(VLOOKUP(B80,R_FinTbl,3,FALSE),0.2))</f>
        <v>0</v>
      </c>
      <c r="F80" s="8">
        <f>B80&lt;&gt;""</f>
        <v>0</v>
      </c>
      <c r="G80" s="8">
        <f>AND(B80&lt;&gt;"",D80&lt;&gt;"Non",E80&lt;=0.4)</f>
        <v>0</v>
      </c>
    </row>
    <row r="81" spans="1:7">
      <c r="A81" s="7"/>
      <c r="B81" s="7"/>
      <c r="C81" s="7"/>
      <c r="D81" s="7"/>
      <c r="E81" s="16">
        <f>IF(B81="",0,IFERROR(VLOOKUP(B81,R_FinTbl,3,FALSE),0.2))</f>
        <v>0</v>
      </c>
      <c r="F81" s="8">
        <f>B81&lt;&gt;""</f>
        <v>0</v>
      </c>
      <c r="G81" s="8">
        <f>AND(B81&lt;&gt;"",D81&lt;&gt;"Non",E81&lt;=0.4)</f>
        <v>0</v>
      </c>
    </row>
    <row r="83" spans="1:7">
      <c r="A83" s="6" t="s">
        <v>513</v>
      </c>
      <c r="C83" s="18">
        <f>SUMPRODUCT((F42:F81=TRUE)*(D42:D81&lt;&gt;"Non")*C42:C81)</f>
        <v>0</v>
      </c>
    </row>
    <row r="84" spans="1:7">
      <c r="A84" s="6" t="s">
        <v>514</v>
      </c>
      <c r="C84" s="18">
        <f>SUMPRODUCT((F42:F81=TRUE)*(D42:D81&lt;&gt;"Non")*C42:C81*E42:E81)</f>
        <v>0</v>
      </c>
    </row>
    <row r="85" spans="1:7">
      <c r="A85" s="6" t="s">
        <v>515</v>
      </c>
      <c r="C85" s="16">
        <f>IF(SUMPRODUCT((F42:F81=TRUE)*1)=0,"",IF(IF(C39="",SUM(C42:C81),C39)&gt;0,ROUND(C84/IF(C39="",SUM(C42:C81),C39)*100,2),""))</f>
        <v>0</v>
      </c>
    </row>
    <row r="86" spans="1:7">
      <c r="A86" s="6" t="s">
        <v>516</v>
      </c>
      <c r="C86" s="8">
        <f>IF(SUMPRODUCT((F42:F81=TRUE)*1)=0,"",AND(C83&gt;0,SUMPRODUCT((G42:G81=TRUE)*1)/SUMPRODUCT((F42:F81=TRUE)*1)&gt;=0.4))</f>
        <v>0</v>
      </c>
    </row>
    <row r="89" spans="1:7">
      <c r="A89" s="5" t="s">
        <v>517</v>
      </c>
    </row>
    <row r="90" spans="1:7">
      <c r="A90" s="6" t="s">
        <v>518</v>
      </c>
      <c r="C90" s="7"/>
    </row>
    <row r="91" spans="1:7">
      <c r="A91" s="6" t="s">
        <v>519</v>
      </c>
      <c r="C91" s="7"/>
    </row>
    <row r="92" spans="1:7">
      <c r="A92" s="6" t="s">
        <v>504</v>
      </c>
      <c r="C92" s="7"/>
    </row>
    <row r="93" spans="1:7">
      <c r="A93" s="6" t="s">
        <v>520</v>
      </c>
      <c r="C93" s="16">
        <f>IF(AND(ISNUMBER(C91),ISNUMBER(C92)),IF(C92&gt;0,ROUND(C91/C92*100,2),""),"")</f>
        <v>0</v>
      </c>
    </row>
    <row r="94" spans="1:7">
      <c r="A94" s="6" t="s">
        <v>521</v>
      </c>
      <c r="C94" s="16">
        <f>IF(AND(ISNUMBER(C90),ISNUMBER(C91),ISNUMBER(C92)),IF(AND(C91&gt;0,C92&gt;0),ROUND(C90-C91/C92*100,2),""),"")</f>
        <v>0</v>
      </c>
    </row>
    <row r="95" spans="1:7">
      <c r="A95" s="6" t="s">
        <v>522</v>
      </c>
      <c r="C95" s="8">
        <f>IF(C94="","",C94&lt;0)</f>
        <v>0</v>
      </c>
    </row>
    <row r="96" spans="1:7">
      <c r="A96" s="6" t="s">
        <v>523</v>
      </c>
      <c r="C96" s="16">
        <f>IF(C93="","",ROUND(MIN(100,C93*1.1),2))</f>
        <v>0</v>
      </c>
    </row>
    <row r="99" spans="1:6">
      <c r="A99" s="5" t="s">
        <v>524</v>
      </c>
    </row>
    <row r="100" spans="1:6">
      <c r="A100" s="6" t="s">
        <v>525</v>
      </c>
      <c r="C100" s="7"/>
    </row>
    <row r="101" spans="1:6">
      <c r="A101" s="6" t="s">
        <v>526</v>
      </c>
      <c r="C101" s="19">
        <v>20</v>
      </c>
    </row>
    <row r="102" spans="1:6">
      <c r="A102" s="6" t="s">
        <v>527</v>
      </c>
      <c r="C102" s="19">
        <v>5</v>
      </c>
    </row>
    <row r="104" spans="1:6">
      <c r="A104" s="10" t="s">
        <v>528</v>
      </c>
      <c r="B104" s="10"/>
      <c r="C104" s="10" t="s">
        <v>529</v>
      </c>
      <c r="D104" s="10" t="s">
        <v>530</v>
      </c>
      <c r="E104" s="10" t="s">
        <v>531</v>
      </c>
      <c r="F104" s="10" t="s">
        <v>532</v>
      </c>
    </row>
    <row r="105" spans="1:6">
      <c r="A105" s="7"/>
      <c r="C105" s="7"/>
      <c r="D105" s="7"/>
      <c r="E105" s="7"/>
      <c r="F105" s="18">
        <f>MAX(0,N(C105))+MAX(0,N(D105))*IF(E105="",1,MIN(1,MAX(0,E105)))</f>
        <v>0</v>
      </c>
    </row>
    <row r="106" spans="1:6">
      <c r="A106" s="7"/>
      <c r="C106" s="7"/>
      <c r="D106" s="7"/>
      <c r="E106" s="7"/>
      <c r="F106" s="18">
        <f>MAX(0,N(C106))+MAX(0,N(D106))*IF(E106="",1,MIN(1,MAX(0,E106)))</f>
        <v>0</v>
      </c>
    </row>
    <row r="107" spans="1:6">
      <c r="A107" s="7"/>
      <c r="C107" s="7"/>
      <c r="D107" s="7"/>
      <c r="E107" s="7"/>
      <c r="F107" s="18">
        <f>MAX(0,N(C107))+MAX(0,N(D107))*IF(E107="",1,MIN(1,MAX(0,E107)))</f>
        <v>0</v>
      </c>
    </row>
    <row r="108" spans="1:6">
      <c r="A108" s="7"/>
      <c r="C108" s="7"/>
      <c r="D108" s="7"/>
      <c r="E108" s="7"/>
      <c r="F108" s="18">
        <f>MAX(0,N(C108))+MAX(0,N(D108))*IF(E108="",1,MIN(1,MAX(0,E108)))</f>
        <v>0</v>
      </c>
    </row>
    <row r="109" spans="1:6">
      <c r="A109" s="7"/>
      <c r="C109" s="7"/>
      <c r="D109" s="7"/>
      <c r="E109" s="7"/>
      <c r="F109" s="18">
        <f>MAX(0,N(C109))+MAX(0,N(D109))*IF(E109="",1,MIN(1,MAX(0,E109)))</f>
        <v>0</v>
      </c>
    </row>
    <row r="110" spans="1:6">
      <c r="A110" s="7"/>
      <c r="C110" s="7"/>
      <c r="D110" s="7"/>
      <c r="E110" s="7"/>
      <c r="F110" s="18">
        <f>MAX(0,N(C110))+MAX(0,N(D110))*IF(E110="",1,MIN(1,MAX(0,E110)))</f>
        <v>0</v>
      </c>
    </row>
    <row r="111" spans="1:6">
      <c r="A111" s="7"/>
      <c r="C111" s="7"/>
      <c r="D111" s="7"/>
      <c r="E111" s="7"/>
      <c r="F111" s="18">
        <f>MAX(0,N(C111))+MAX(0,N(D111))*IF(E111="",1,MIN(1,MAX(0,E111)))</f>
        <v>0</v>
      </c>
    </row>
    <row r="112" spans="1:6">
      <c r="A112" s="7"/>
      <c r="C112" s="7"/>
      <c r="D112" s="7"/>
      <c r="E112" s="7"/>
      <c r="F112" s="18">
        <f>MAX(0,N(C112))+MAX(0,N(D112))*IF(E112="",1,MIN(1,MAX(0,E112)))</f>
        <v>0</v>
      </c>
    </row>
    <row r="113" spans="1:6">
      <c r="A113" s="7"/>
      <c r="C113" s="7"/>
      <c r="D113" s="7"/>
      <c r="E113" s="7"/>
      <c r="F113" s="18">
        <f>MAX(0,N(C113))+MAX(0,N(D113))*IF(E113="",1,MIN(1,MAX(0,E113)))</f>
        <v>0</v>
      </c>
    </row>
    <row r="114" spans="1:6">
      <c r="A114" s="7"/>
      <c r="C114" s="7"/>
      <c r="D114" s="7"/>
      <c r="E114" s="7"/>
      <c r="F114" s="18">
        <f>MAX(0,N(C114))+MAX(0,N(D114))*IF(E114="",1,MIN(1,MAX(0,E114)))</f>
        <v>0</v>
      </c>
    </row>
    <row r="116" spans="1:6">
      <c r="A116" s="6" t="s">
        <v>533</v>
      </c>
      <c r="C116" s="18">
        <f>SUM(F105:F114)</f>
        <v>0</v>
      </c>
    </row>
    <row r="117" spans="1:6">
      <c r="A117" s="6" t="s">
        <v>534</v>
      </c>
      <c r="C117" s="18">
        <f>IF(ISNUMBER(C100),ROUND(C100*C101/100,2),"")</f>
        <v>0</v>
      </c>
    </row>
    <row r="118" spans="1:6">
      <c r="A118" s="6" t="s">
        <v>535</v>
      </c>
      <c r="C118" s="16">
        <f>IF(AND(ISNUMBER(C100),N(C100)&gt;0),ROUND(C116/C100*100,2),"")</f>
        <v>0</v>
      </c>
    </row>
    <row r="119" spans="1:6">
      <c r="A119" s="6" t="s">
        <v>536</v>
      </c>
      <c r="C119" s="18">
        <f>IF(C117="","",MAX(0,C117-C116))</f>
        <v>0</v>
      </c>
    </row>
    <row r="120" spans="1:6">
      <c r="A120" s="6" t="s">
        <v>537</v>
      </c>
      <c r="C120" s="8">
        <f>IF(AND(ISNUMBER(C100),N(C100)&gt;0),C116&gt;C117,"")</f>
        <v>0</v>
      </c>
    </row>
    <row r="121" spans="1:6">
      <c r="A121" s="6" t="s">
        <v>538</v>
      </c>
      <c r="C121" s="8">
        <f>IF(AND(ISNUMBER(C100),N(C100)&gt;0),C116&gt;=C100*C102/100,"")</f>
        <v>0</v>
      </c>
    </row>
  </sheetData>
  <dataValidations count="4">
    <dataValidation type="list" allowBlank="1" showInputMessage="1" showErrorMessage="1" sqref="B5">
      <formula1>"LOTISSEMENT,CONSTRUCTION,MIXTE"</formula1>
    </dataValidation>
    <dataValidation type="list" allowBlank="1" showInputMessage="1" showErrorMessage="1" sqref="D8:D31">
      <formula1>"Oui,Non"</formula1>
    </dataValidation>
    <dataValidation type="list" allowBlank="1" showInputMessage="1" showErrorMessage="1" sqref="B42:B81">
      <formula1>R_FinCodes</formula1>
    </dataValidation>
    <dataValidation type="list" allowBlank="1" showInputMessage="1" showErrorMessage="1" sqref="D42:D81">
      <formula1>"Oui,Non"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36.7109375" customWidth="1"/>
    <col min="3" max="5" width="14.7109375" customWidth="1"/>
    <col min="6" max="45" width="13.7109375" customWidth="1"/>
    <col min="46" max="58" width="14.7109375" customWidth="1"/>
  </cols>
  <sheetData>
    <row r="1" spans="1:58">
      <c r="A1" s="1" t="s">
        <v>595</v>
      </c>
    </row>
    <row r="2" spans="1:58">
      <c r="A2" s="2" t="s">
        <v>596</v>
      </c>
    </row>
    <row r="3" spans="1:58">
      <c r="A3" s="5" t="s">
        <v>597</v>
      </c>
      <c r="F3" s="5" t="s">
        <v>598</v>
      </c>
    </row>
    <row r="4" spans="1:58" ht="42" customHeight="1">
      <c r="A4" s="10" t="s">
        <v>386</v>
      </c>
      <c r="B4" s="10" t="s">
        <v>451</v>
      </c>
      <c r="C4" s="10" t="s">
        <v>58</v>
      </c>
      <c r="D4" s="10" t="s">
        <v>60</v>
      </c>
      <c r="E4" s="10" t="s">
        <v>599</v>
      </c>
      <c r="F4" s="10" t="s">
        <v>108</v>
      </c>
      <c r="G4" s="10" t="s">
        <v>113</v>
      </c>
      <c r="H4" s="10" t="s">
        <v>117</v>
      </c>
      <c r="I4" s="10" t="s">
        <v>121</v>
      </c>
      <c r="J4" s="10" t="s">
        <v>124</v>
      </c>
      <c r="K4" s="10" t="s">
        <v>127</v>
      </c>
      <c r="L4" s="10" t="s">
        <v>131</v>
      </c>
      <c r="M4" s="10" t="s">
        <v>135</v>
      </c>
      <c r="N4" s="10" t="s">
        <v>138</v>
      </c>
      <c r="O4" s="10" t="s">
        <v>141</v>
      </c>
      <c r="P4" s="10" t="s">
        <v>144</v>
      </c>
      <c r="Q4" s="10" t="s">
        <v>147</v>
      </c>
      <c r="R4" s="10" t="s">
        <v>150</v>
      </c>
      <c r="S4" s="10" t="s">
        <v>153</v>
      </c>
      <c r="T4" s="10" t="s">
        <v>157</v>
      </c>
      <c r="U4" s="10" t="s">
        <v>160</v>
      </c>
      <c r="V4" s="10" t="s">
        <v>163</v>
      </c>
      <c r="W4" s="10" t="s">
        <v>166</v>
      </c>
      <c r="X4" s="10" t="s">
        <v>169</v>
      </c>
      <c r="Y4" s="10" t="s">
        <v>172</v>
      </c>
      <c r="Z4" s="10" t="s">
        <v>175</v>
      </c>
      <c r="AA4" s="10" t="s">
        <v>178</v>
      </c>
      <c r="AB4" s="10" t="s">
        <v>181</v>
      </c>
      <c r="AC4" s="10" t="s">
        <v>184</v>
      </c>
      <c r="AD4" s="10" t="s">
        <v>187</v>
      </c>
      <c r="AE4" s="10" t="s">
        <v>191</v>
      </c>
      <c r="AF4" s="10" t="s">
        <v>194</v>
      </c>
      <c r="AG4" s="10" t="s">
        <v>197</v>
      </c>
      <c r="AH4" s="10" t="s">
        <v>200</v>
      </c>
      <c r="AI4" s="10" t="s">
        <v>15</v>
      </c>
      <c r="AJ4" s="10" t="s">
        <v>375</v>
      </c>
      <c r="AK4" s="10" t="s">
        <v>366</v>
      </c>
      <c r="AL4" s="10" t="s">
        <v>370</v>
      </c>
      <c r="AM4" s="10" t="s">
        <v>354</v>
      </c>
      <c r="AN4" s="10" t="s">
        <v>343</v>
      </c>
      <c r="AO4" s="10" t="s">
        <v>346</v>
      </c>
      <c r="AP4" s="10" t="s">
        <v>328</v>
      </c>
      <c r="AQ4" s="10" t="s">
        <v>320</v>
      </c>
      <c r="AR4" s="10" t="s">
        <v>360</v>
      </c>
      <c r="AS4" s="10" t="s">
        <v>337</v>
      </c>
      <c r="AT4" s="20" t="s">
        <v>600</v>
      </c>
      <c r="AU4" s="20" t="s">
        <v>541</v>
      </c>
      <c r="AV4" s="20" t="s">
        <v>542</v>
      </c>
      <c r="AW4" s="20" t="s">
        <v>601</v>
      </c>
      <c r="AX4" s="20" t="s">
        <v>602</v>
      </c>
      <c r="AY4" s="20" t="s">
        <v>20</v>
      </c>
      <c r="AZ4" s="20" t="s">
        <v>22</v>
      </c>
      <c r="BA4" s="20" t="s">
        <v>24</v>
      </c>
      <c r="BB4" s="20" t="s">
        <v>26</v>
      </c>
      <c r="BC4" s="20" t="s">
        <v>603</v>
      </c>
      <c r="BD4" s="20" t="s">
        <v>604</v>
      </c>
      <c r="BE4" s="20" t="s">
        <v>605</v>
      </c>
      <c r="BF4" s="20" t="s">
        <v>606</v>
      </c>
    </row>
    <row r="5" spans="1:58">
      <c r="A5" s="7" t="s">
        <v>607</v>
      </c>
      <c r="B5" s="7" t="s">
        <v>608</v>
      </c>
      <c r="C5" s="7"/>
      <c r="D5" s="7"/>
      <c r="E5" s="7" t="s">
        <v>33</v>
      </c>
      <c r="F5" s="7">
        <v>8</v>
      </c>
      <c r="G5" s="7">
        <v>85</v>
      </c>
      <c r="H5" s="7" t="s">
        <v>222</v>
      </c>
      <c r="I5" s="7">
        <v>35</v>
      </c>
      <c r="J5" s="7" t="s">
        <v>231</v>
      </c>
      <c r="K5" s="7">
        <v>100</v>
      </c>
      <c r="L5" s="7" t="s">
        <v>240</v>
      </c>
      <c r="M5" s="7" t="s">
        <v>246</v>
      </c>
      <c r="N5" s="7" t="s">
        <v>252</v>
      </c>
      <c r="O5" s="7">
        <v>100</v>
      </c>
      <c r="P5" s="7" t="s">
        <v>257</v>
      </c>
      <c r="Q5" s="7" t="s">
        <v>257</v>
      </c>
      <c r="R5" s="7">
        <v>22</v>
      </c>
      <c r="S5" s="7">
        <v>100</v>
      </c>
      <c r="T5" s="7">
        <v>62</v>
      </c>
      <c r="U5" s="7">
        <v>100</v>
      </c>
      <c r="V5" s="7">
        <v>90</v>
      </c>
      <c r="W5" s="7">
        <v>1.35</v>
      </c>
      <c r="X5" s="7">
        <v>0</v>
      </c>
      <c r="Y5" s="7">
        <v>16</v>
      </c>
      <c r="Z5" s="7">
        <v>18</v>
      </c>
      <c r="AA5" s="7">
        <v>55</v>
      </c>
      <c r="AB5" s="7">
        <v>27</v>
      </c>
      <c r="AC5" s="7">
        <v>61</v>
      </c>
      <c r="AD5" s="7">
        <v>65</v>
      </c>
      <c r="AE5" s="7">
        <v>125</v>
      </c>
      <c r="AF5" s="7" t="s">
        <v>299</v>
      </c>
      <c r="AG5" s="7">
        <v>3.2</v>
      </c>
      <c r="AH5" s="7">
        <v>5</v>
      </c>
      <c r="AI5" s="7">
        <v>0</v>
      </c>
      <c r="AJ5" s="7">
        <v>0</v>
      </c>
      <c r="AK5" s="7">
        <v>0</v>
      </c>
      <c r="AL5" s="7" t="s">
        <v>609</v>
      </c>
      <c r="AM5" s="7" t="s">
        <v>610</v>
      </c>
      <c r="AN5" s="7" t="s">
        <v>35</v>
      </c>
      <c r="AO5" s="7" t="s">
        <v>35</v>
      </c>
      <c r="AP5" s="7" t="s">
        <v>35</v>
      </c>
      <c r="AQ5" s="7" t="s">
        <v>35</v>
      </c>
      <c r="AR5" s="7" t="s">
        <v>35</v>
      </c>
      <c r="AS5" s="7" t="s">
        <v>35</v>
      </c>
    </row>
    <row r="6" spans="1:58">
      <c r="A6" s="7" t="s">
        <v>611</v>
      </c>
      <c r="B6" s="7" t="s">
        <v>612</v>
      </c>
      <c r="C6" s="7" t="s">
        <v>66</v>
      </c>
      <c r="D6" s="7" t="s">
        <v>68</v>
      </c>
      <c r="E6" s="7" t="s">
        <v>33</v>
      </c>
      <c r="F6" s="7">
        <v>2</v>
      </c>
      <c r="G6" s="7">
        <v>120</v>
      </c>
      <c r="H6" s="7" t="s">
        <v>220</v>
      </c>
      <c r="I6" s="7">
        <v>50</v>
      </c>
      <c r="J6" s="7" t="s">
        <v>229</v>
      </c>
      <c r="K6" s="7">
        <v>90</v>
      </c>
      <c r="L6" s="7" t="s">
        <v>238</v>
      </c>
      <c r="M6" s="7" t="s">
        <v>244</v>
      </c>
      <c r="N6" s="7" t="s">
        <v>250</v>
      </c>
      <c r="O6" s="7">
        <v>90</v>
      </c>
      <c r="P6" s="7" t="s">
        <v>244</v>
      </c>
      <c r="Q6" s="7" t="s">
        <v>250</v>
      </c>
      <c r="R6" s="7">
        <v>30</v>
      </c>
      <c r="S6" s="7">
        <v>70</v>
      </c>
      <c r="T6" s="7">
        <v>35</v>
      </c>
      <c r="U6" s="7">
        <v>90</v>
      </c>
      <c r="V6" s="7">
        <v>180</v>
      </c>
      <c r="W6" s="7">
        <v>1.1</v>
      </c>
      <c r="X6" s="7">
        <v>5</v>
      </c>
      <c r="Y6" s="7">
        <v>24</v>
      </c>
      <c r="Z6" s="7">
        <v>12</v>
      </c>
      <c r="AA6" s="7">
        <v>30</v>
      </c>
      <c r="AB6" s="7">
        <v>20</v>
      </c>
      <c r="AC6" s="7">
        <v>70</v>
      </c>
      <c r="AD6" s="7">
        <v>78</v>
      </c>
      <c r="AE6" s="7">
        <v>100</v>
      </c>
      <c r="AF6" s="7" t="s">
        <v>299</v>
      </c>
      <c r="AG6" s="7">
        <v>2</v>
      </c>
      <c r="AH6" s="7">
        <v>-5</v>
      </c>
      <c r="AI6" s="7">
        <v>0</v>
      </c>
      <c r="AJ6" s="7">
        <v>0</v>
      </c>
      <c r="AK6" s="7">
        <v>0</v>
      </c>
      <c r="AL6" s="7" t="s">
        <v>609</v>
      </c>
      <c r="AM6" s="7" t="s">
        <v>610</v>
      </c>
      <c r="AN6" s="7" t="s">
        <v>35</v>
      </c>
      <c r="AO6" s="7" t="s">
        <v>35</v>
      </c>
      <c r="AP6" s="7" t="s">
        <v>35</v>
      </c>
      <c r="AQ6" s="7" t="s">
        <v>35</v>
      </c>
      <c r="AR6" s="7" t="s">
        <v>35</v>
      </c>
      <c r="AS6" s="7" t="s">
        <v>35</v>
      </c>
    </row>
    <row r="7" spans="1:58">
      <c r="A7" s="7" t="s">
        <v>613</v>
      </c>
      <c r="B7" s="7" t="s">
        <v>614</v>
      </c>
      <c r="C7" s="7"/>
      <c r="D7" s="7"/>
      <c r="E7" s="7" t="s">
        <v>33</v>
      </c>
      <c r="F7" s="7">
        <v>8</v>
      </c>
      <c r="G7" s="7">
        <v>85</v>
      </c>
      <c r="H7" s="7" t="s">
        <v>222</v>
      </c>
      <c r="I7" s="7">
        <v>35</v>
      </c>
      <c r="J7" s="7" t="s">
        <v>231</v>
      </c>
      <c r="K7" s="7">
        <v>100</v>
      </c>
      <c r="L7" s="7" t="s">
        <v>240</v>
      </c>
      <c r="M7" s="7" t="s">
        <v>246</v>
      </c>
      <c r="N7" s="7" t="s">
        <v>252</v>
      </c>
      <c r="O7" s="7">
        <v>100</v>
      </c>
      <c r="P7" s="7" t="s">
        <v>257</v>
      </c>
      <c r="Q7" s="7" t="s">
        <v>257</v>
      </c>
      <c r="R7" s="7">
        <v>22</v>
      </c>
      <c r="S7" s="7">
        <v>100</v>
      </c>
      <c r="T7" s="7">
        <v>62</v>
      </c>
      <c r="U7" s="7">
        <v>100</v>
      </c>
      <c r="V7" s="7">
        <v>90</v>
      </c>
      <c r="W7" s="7">
        <v>1.35</v>
      </c>
      <c r="X7" s="7">
        <v>0</v>
      </c>
      <c r="Y7" s="7">
        <v>16</v>
      </c>
      <c r="Z7" s="7">
        <v>18</v>
      </c>
      <c r="AA7" s="7">
        <v>55</v>
      </c>
      <c r="AB7" s="7">
        <v>27</v>
      </c>
      <c r="AC7" s="7">
        <v>61</v>
      </c>
      <c r="AD7" s="7">
        <v>65</v>
      </c>
      <c r="AE7" s="7">
        <v>125</v>
      </c>
      <c r="AF7" s="7" t="s">
        <v>297</v>
      </c>
      <c r="AG7" s="7">
        <v>3.2</v>
      </c>
      <c r="AH7" s="7">
        <v>5</v>
      </c>
      <c r="AI7" s="7">
        <v>0</v>
      </c>
      <c r="AJ7" s="7">
        <v>0</v>
      </c>
      <c r="AK7" s="7">
        <v>0</v>
      </c>
      <c r="AL7" s="7" t="s">
        <v>371</v>
      </c>
      <c r="AM7" s="7" t="s">
        <v>610</v>
      </c>
      <c r="AN7" s="7" t="s">
        <v>35</v>
      </c>
      <c r="AO7" s="7" t="s">
        <v>35</v>
      </c>
      <c r="AP7" s="7" t="s">
        <v>35</v>
      </c>
      <c r="AQ7" s="7" t="s">
        <v>35</v>
      </c>
      <c r="AR7" s="7" t="s">
        <v>35</v>
      </c>
      <c r="AS7" s="7" t="s">
        <v>35</v>
      </c>
    </row>
  </sheetData>
  <dataValidations count="3">
    <dataValidation type="list" errorStyle="warning" allowBlank="1" showInputMessage="1" showErrorMessage="1" sqref="C5:C204">
      <formula1>P_SegCodes</formula1>
    </dataValidation>
    <dataValidation type="list" errorStyle="warning" allowBlank="1" showInputMessage="1" showErrorMessage="1" sqref="D5:D204">
      <formula1>P_ZoneCodes</formula1>
    </dataValidation>
    <dataValidation type="list" allowBlank="1" showInputMessage="1" showErrorMessage="1" sqref="E5:E204">
      <formula1>P_ClsCodes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" width="12.7109375" customWidth="1"/>
    <col min="2" max="2" width="22.7109375" customWidth="1"/>
    <col min="3" max="12" width="14.7109375" customWidth="1"/>
  </cols>
  <sheetData>
    <row r="1" spans="1:12">
      <c r="A1" s="1" t="s">
        <v>683</v>
      </c>
    </row>
    <row r="2" spans="1:12">
      <c r="A2" s="2" t="s">
        <v>684</v>
      </c>
    </row>
    <row r="3" spans="1:12">
      <c r="A3" s="6" t="s">
        <v>685</v>
      </c>
      <c r="C3" s="8"/>
      <c r="D3" s="6" t="s">
        <v>686</v>
      </c>
      <c r="E3" s="8"/>
    </row>
    <row r="4" spans="1:12">
      <c r="A4" s="10" t="s">
        <v>687</v>
      </c>
      <c r="B4" s="10" t="s">
        <v>29</v>
      </c>
      <c r="C4" s="10" t="s">
        <v>688</v>
      </c>
      <c r="D4" s="10" t="s">
        <v>689</v>
      </c>
      <c r="E4" s="10" t="s">
        <v>690</v>
      </c>
      <c r="F4" s="10" t="s">
        <v>691</v>
      </c>
      <c r="G4" s="10" t="s">
        <v>692</v>
      </c>
      <c r="H4" s="10" t="s">
        <v>693</v>
      </c>
      <c r="I4" s="10" t="s">
        <v>694</v>
      </c>
      <c r="J4" s="10" t="s">
        <v>600</v>
      </c>
      <c r="K4" s="10" t="s">
        <v>541</v>
      </c>
      <c r="L4" s="10" t="s">
        <v>695</v>
      </c>
    </row>
    <row r="5" spans="1:12">
      <c r="A5" s="21" t="s">
        <v>696</v>
      </c>
      <c r="B5" s="21" t="s">
        <v>697</v>
      </c>
      <c r="C5" s="22">
        <v>10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8"/>
      <c r="K5" s="8"/>
      <c r="L5" s="8"/>
    </row>
    <row r="6" spans="1:12">
      <c r="A6" s="21" t="s">
        <v>698</v>
      </c>
      <c r="B6" s="21" t="s">
        <v>699</v>
      </c>
      <c r="C6" s="22">
        <v>15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8"/>
      <c r="K6" s="8"/>
      <c r="L6" s="8"/>
    </row>
    <row r="7" spans="1:12">
      <c r="A7" s="21" t="s">
        <v>700</v>
      </c>
      <c r="B7" s="21" t="s">
        <v>701</v>
      </c>
      <c r="C7" s="22">
        <v>0</v>
      </c>
      <c r="D7" s="22">
        <v>10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8"/>
      <c r="K7" s="8"/>
      <c r="L7" s="8"/>
    </row>
    <row r="8" spans="1:12">
      <c r="A8" s="21" t="s">
        <v>702</v>
      </c>
      <c r="B8" s="21" t="s">
        <v>703</v>
      </c>
      <c r="C8" s="22">
        <v>0</v>
      </c>
      <c r="D8" s="22">
        <v>0</v>
      </c>
      <c r="E8" s="22">
        <v>6</v>
      </c>
      <c r="F8" s="22">
        <v>0</v>
      </c>
      <c r="G8" s="22">
        <v>0</v>
      </c>
      <c r="H8" s="22">
        <v>0</v>
      </c>
      <c r="I8" s="22">
        <v>0</v>
      </c>
      <c r="J8" s="8"/>
      <c r="K8" s="8"/>
      <c r="L8" s="8"/>
    </row>
    <row r="9" spans="1:12">
      <c r="A9" s="21" t="s">
        <v>704</v>
      </c>
      <c r="B9" s="21" t="s">
        <v>705</v>
      </c>
      <c r="C9" s="22">
        <v>0</v>
      </c>
      <c r="D9" s="22">
        <v>0</v>
      </c>
      <c r="E9" s="22">
        <v>0</v>
      </c>
      <c r="F9" s="22">
        <v>20</v>
      </c>
      <c r="G9" s="22">
        <v>0</v>
      </c>
      <c r="H9" s="22">
        <v>0</v>
      </c>
      <c r="I9" s="22">
        <v>0</v>
      </c>
      <c r="J9" s="8"/>
      <c r="K9" s="8"/>
      <c r="L9" s="8"/>
    </row>
    <row r="10" spans="1:12">
      <c r="A10" s="21" t="s">
        <v>706</v>
      </c>
      <c r="B10" s="21" t="s">
        <v>707</v>
      </c>
      <c r="C10" s="22">
        <v>0</v>
      </c>
      <c r="D10" s="22">
        <v>0</v>
      </c>
      <c r="E10" s="22">
        <v>0</v>
      </c>
      <c r="F10" s="22">
        <v>0</v>
      </c>
      <c r="G10" s="22">
        <v>200</v>
      </c>
      <c r="H10" s="22">
        <v>0</v>
      </c>
      <c r="I10" s="22">
        <v>0</v>
      </c>
      <c r="J10" s="8"/>
      <c r="K10" s="8"/>
      <c r="L10" s="8"/>
    </row>
    <row r="11" spans="1:12">
      <c r="A11" s="21" t="s">
        <v>708</v>
      </c>
      <c r="B11" s="21" t="s">
        <v>709</v>
      </c>
      <c r="C11" s="22">
        <v>15</v>
      </c>
      <c r="D11" s="22">
        <v>10</v>
      </c>
      <c r="E11" s="22">
        <v>6</v>
      </c>
      <c r="F11" s="22">
        <v>20</v>
      </c>
      <c r="G11" s="22">
        <v>200</v>
      </c>
      <c r="H11" s="22">
        <v>0</v>
      </c>
      <c r="I11" s="22">
        <v>0</v>
      </c>
      <c r="J11" s="8"/>
      <c r="K11" s="8"/>
      <c r="L11" s="8"/>
    </row>
    <row r="12" spans="1:12">
      <c r="A12" s="21"/>
      <c r="B12" s="21"/>
      <c r="C12" s="21"/>
      <c r="D12" s="21"/>
      <c r="E12" s="21"/>
      <c r="F12" s="21"/>
      <c r="G12" s="21"/>
      <c r="H12" s="21"/>
      <c r="I12" s="21"/>
      <c r="J12" s="8"/>
      <c r="K12" s="8"/>
      <c r="L12" s="8"/>
    </row>
    <row r="13" spans="1:12">
      <c r="A13" s="21"/>
      <c r="B13" s="21"/>
      <c r="C13" s="21"/>
      <c r="D13" s="21"/>
      <c r="E13" s="21"/>
      <c r="F13" s="21"/>
      <c r="G13" s="21"/>
      <c r="H13" s="21"/>
      <c r="I13" s="21"/>
      <c r="J13" s="8"/>
      <c r="K13" s="8"/>
      <c r="L13" s="8"/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  <c r="J14" s="8"/>
      <c r="K14" s="8"/>
      <c r="L14" s="8"/>
    </row>
  </sheetData>
  <conditionalFormatting sqref="K5:K14">
    <cfRule type="cellIs" dxfId="3" priority="1" operator="equal">
      <formula>"NO_GO"</formula>
    </cfRule>
    <cfRule type="cellIs" dxfId="0" priority="2" operator="equal">
      <formula>"GO"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G2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52.7109375" customWidth="1"/>
    <col min="3" max="5" width="14.7109375" customWidth="1"/>
    <col min="6" max="60" width="13.7109375" customWidth="1"/>
  </cols>
  <sheetData>
    <row r="1" spans="1:59">
      <c r="A1" s="1" t="s">
        <v>615</v>
      </c>
    </row>
    <row r="2" spans="1:59">
      <c r="A2" s="2" t="s">
        <v>616</v>
      </c>
    </row>
    <row r="3" spans="1:59">
      <c r="A3" s="5" t="s">
        <v>597</v>
      </c>
      <c r="F3" s="5" t="s">
        <v>598</v>
      </c>
    </row>
    <row r="4" spans="1:59" ht="42" customHeight="1">
      <c r="A4" s="10" t="s">
        <v>617</v>
      </c>
      <c r="B4" s="10" t="s">
        <v>618</v>
      </c>
      <c r="C4" s="10" t="s">
        <v>58</v>
      </c>
      <c r="D4" s="10" t="s">
        <v>60</v>
      </c>
      <c r="E4" s="10" t="s">
        <v>599</v>
      </c>
      <c r="F4" s="10" t="s">
        <v>108</v>
      </c>
      <c r="G4" s="10" t="s">
        <v>113</v>
      </c>
      <c r="H4" s="10" t="s">
        <v>117</v>
      </c>
      <c r="I4" s="10" t="s">
        <v>121</v>
      </c>
      <c r="J4" s="10" t="s">
        <v>124</v>
      </c>
      <c r="K4" s="10" t="s">
        <v>127</v>
      </c>
      <c r="L4" s="10" t="s">
        <v>131</v>
      </c>
      <c r="M4" s="10" t="s">
        <v>135</v>
      </c>
      <c r="N4" s="10" t="s">
        <v>138</v>
      </c>
      <c r="O4" s="10" t="s">
        <v>141</v>
      </c>
      <c r="P4" s="10" t="s">
        <v>144</v>
      </c>
      <c r="Q4" s="10" t="s">
        <v>147</v>
      </c>
      <c r="R4" s="10" t="s">
        <v>150</v>
      </c>
      <c r="S4" s="10" t="s">
        <v>153</v>
      </c>
      <c r="T4" s="10" t="s">
        <v>157</v>
      </c>
      <c r="U4" s="10" t="s">
        <v>160</v>
      </c>
      <c r="V4" s="10" t="s">
        <v>163</v>
      </c>
      <c r="W4" s="10" t="s">
        <v>166</v>
      </c>
      <c r="X4" s="10" t="s">
        <v>169</v>
      </c>
      <c r="Y4" s="10" t="s">
        <v>172</v>
      </c>
      <c r="Z4" s="10" t="s">
        <v>175</v>
      </c>
      <c r="AA4" s="10" t="s">
        <v>178</v>
      </c>
      <c r="AB4" s="10" t="s">
        <v>181</v>
      </c>
      <c r="AC4" s="10" t="s">
        <v>184</v>
      </c>
      <c r="AD4" s="10" t="s">
        <v>187</v>
      </c>
      <c r="AE4" s="10" t="s">
        <v>191</v>
      </c>
      <c r="AF4" s="10" t="s">
        <v>194</v>
      </c>
      <c r="AG4" s="10" t="s">
        <v>197</v>
      </c>
      <c r="AH4" s="10" t="s">
        <v>200</v>
      </c>
      <c r="AI4" s="10" t="s">
        <v>15</v>
      </c>
      <c r="AJ4" s="10" t="s">
        <v>375</v>
      </c>
      <c r="AK4" s="10" t="s">
        <v>366</v>
      </c>
      <c r="AL4" s="10" t="s">
        <v>370</v>
      </c>
      <c r="AM4" s="10" t="s">
        <v>354</v>
      </c>
      <c r="AN4" s="10" t="s">
        <v>343</v>
      </c>
      <c r="AO4" s="10" t="s">
        <v>346</v>
      </c>
      <c r="AP4" s="10" t="s">
        <v>328</v>
      </c>
      <c r="AQ4" s="10" t="s">
        <v>320</v>
      </c>
      <c r="AR4" s="10" t="s">
        <v>360</v>
      </c>
      <c r="AS4" s="10" t="s">
        <v>337</v>
      </c>
      <c r="AT4" s="10" t="s">
        <v>619</v>
      </c>
      <c r="AU4" s="10" t="s">
        <v>620</v>
      </c>
      <c r="AV4" s="10" t="s">
        <v>621</v>
      </c>
      <c r="AW4" s="10" t="s">
        <v>622</v>
      </c>
      <c r="AX4" s="10" t="s">
        <v>623</v>
      </c>
      <c r="AY4" s="10" t="s">
        <v>624</v>
      </c>
      <c r="AZ4" s="10" t="s">
        <v>625</v>
      </c>
      <c r="BA4" s="10" t="s">
        <v>626</v>
      </c>
      <c r="BB4" s="10" t="s">
        <v>627</v>
      </c>
      <c r="BC4" s="10" t="s">
        <v>628</v>
      </c>
      <c r="BD4" s="10" t="s">
        <v>629</v>
      </c>
      <c r="BE4" s="20" t="s">
        <v>630</v>
      </c>
      <c r="BF4" s="20" t="s">
        <v>631</v>
      </c>
      <c r="BG4" s="20" t="s">
        <v>632</v>
      </c>
    </row>
    <row r="5" spans="1:59">
      <c r="A5" s="8" t="s">
        <v>633</v>
      </c>
      <c r="B5" s="8" t="s">
        <v>608</v>
      </c>
      <c r="C5" s="7"/>
      <c r="D5" s="7"/>
      <c r="E5" s="7" t="s">
        <v>33</v>
      </c>
      <c r="F5" s="7">
        <v>8</v>
      </c>
      <c r="G5" s="7">
        <v>85</v>
      </c>
      <c r="H5" s="7" t="s">
        <v>222</v>
      </c>
      <c r="I5" s="7">
        <v>35</v>
      </c>
      <c r="J5" s="7" t="s">
        <v>231</v>
      </c>
      <c r="K5" s="7">
        <v>100</v>
      </c>
      <c r="L5" s="7" t="s">
        <v>240</v>
      </c>
      <c r="M5" s="7" t="s">
        <v>246</v>
      </c>
      <c r="N5" s="7" t="s">
        <v>252</v>
      </c>
      <c r="O5" s="7">
        <v>100</v>
      </c>
      <c r="P5" s="7" t="s">
        <v>257</v>
      </c>
      <c r="Q5" s="7" t="s">
        <v>257</v>
      </c>
      <c r="R5" s="7">
        <v>22</v>
      </c>
      <c r="S5" s="7">
        <v>100</v>
      </c>
      <c r="T5" s="7">
        <v>62</v>
      </c>
      <c r="U5" s="7">
        <v>100</v>
      </c>
      <c r="V5" s="7">
        <v>90</v>
      </c>
      <c r="W5" s="7">
        <v>1.35</v>
      </c>
      <c r="X5" s="7">
        <v>0</v>
      </c>
      <c r="Y5" s="7">
        <v>16</v>
      </c>
      <c r="Z5" s="7">
        <v>18</v>
      </c>
      <c r="AA5" s="7">
        <v>55</v>
      </c>
      <c r="AB5" s="7">
        <v>27</v>
      </c>
      <c r="AC5" s="7">
        <v>61</v>
      </c>
      <c r="AD5" s="7">
        <v>65</v>
      </c>
      <c r="AE5" s="7">
        <v>125</v>
      </c>
      <c r="AF5" s="7" t="s">
        <v>299</v>
      </c>
      <c r="AG5" s="7">
        <v>3.2</v>
      </c>
      <c r="AH5" s="7">
        <v>5</v>
      </c>
      <c r="AI5" s="7">
        <v>0</v>
      </c>
      <c r="AJ5" s="7">
        <v>0</v>
      </c>
      <c r="AK5" s="7">
        <v>0</v>
      </c>
      <c r="AL5" s="7" t="s">
        <v>609</v>
      </c>
      <c r="AM5" s="7" t="s">
        <v>610</v>
      </c>
      <c r="AN5" s="7" t="s">
        <v>35</v>
      </c>
      <c r="AO5" s="7" t="s">
        <v>35</v>
      </c>
      <c r="AP5" s="7" t="s">
        <v>35</v>
      </c>
      <c r="AQ5" s="7" t="s">
        <v>35</v>
      </c>
      <c r="AR5" s="7" t="s">
        <v>35</v>
      </c>
      <c r="AS5" s="7" t="s">
        <v>35</v>
      </c>
      <c r="AT5" s="21">
        <v>98.56</v>
      </c>
      <c r="AU5" s="21" t="s">
        <v>634</v>
      </c>
      <c r="AV5" s="21" t="s">
        <v>635</v>
      </c>
      <c r="AW5" s="21">
        <v>0</v>
      </c>
      <c r="AX5" s="21" t="s">
        <v>35</v>
      </c>
      <c r="AY5" s="21">
        <v>98.56</v>
      </c>
      <c r="AZ5" s="21">
        <v>100</v>
      </c>
      <c r="BA5" s="21">
        <v>100</v>
      </c>
      <c r="BB5" s="21">
        <v>100</v>
      </c>
      <c r="BC5" s="21">
        <v>94</v>
      </c>
      <c r="BD5" s="21">
        <v>100</v>
      </c>
    </row>
    <row r="6" spans="1:59">
      <c r="A6" s="8" t="s">
        <v>636</v>
      </c>
      <c r="B6" s="8" t="s">
        <v>637</v>
      </c>
      <c r="C6" s="7" t="s">
        <v>74</v>
      </c>
      <c r="D6" s="7" t="s">
        <v>84</v>
      </c>
      <c r="E6" s="7" t="s">
        <v>33</v>
      </c>
      <c r="F6" s="7">
        <v>8</v>
      </c>
      <c r="G6" s="7">
        <v>85</v>
      </c>
      <c r="H6" s="7" t="s">
        <v>222</v>
      </c>
      <c r="I6" s="7">
        <v>35</v>
      </c>
      <c r="J6" s="7" t="s">
        <v>231</v>
      </c>
      <c r="K6" s="7">
        <v>100</v>
      </c>
      <c r="L6" s="7" t="s">
        <v>240</v>
      </c>
      <c r="M6" s="7" t="s">
        <v>246</v>
      </c>
      <c r="N6" s="7" t="s">
        <v>252</v>
      </c>
      <c r="O6" s="7">
        <v>100</v>
      </c>
      <c r="P6" s="7" t="s">
        <v>257</v>
      </c>
      <c r="Q6" s="7" t="s">
        <v>257</v>
      </c>
      <c r="R6" s="7">
        <v>22</v>
      </c>
      <c r="S6" s="7">
        <v>100</v>
      </c>
      <c r="T6" s="7">
        <v>62</v>
      </c>
      <c r="U6" s="7">
        <v>100</v>
      </c>
      <c r="V6" s="7">
        <v>90</v>
      </c>
      <c r="W6" s="7">
        <v>1.35</v>
      </c>
      <c r="X6" s="7">
        <v>0</v>
      </c>
      <c r="Y6" s="7">
        <v>16</v>
      </c>
      <c r="Z6" s="7">
        <v>18</v>
      </c>
      <c r="AA6" s="7">
        <v>55</v>
      </c>
      <c r="AB6" s="7">
        <v>27</v>
      </c>
      <c r="AC6" s="7">
        <v>61</v>
      </c>
      <c r="AD6" s="7">
        <v>65</v>
      </c>
      <c r="AE6" s="7">
        <v>125</v>
      </c>
      <c r="AF6" s="7" t="s">
        <v>299</v>
      </c>
      <c r="AG6" s="7">
        <v>3.2</v>
      </c>
      <c r="AH6" s="7">
        <v>5</v>
      </c>
      <c r="AI6" s="7">
        <v>0</v>
      </c>
      <c r="AJ6" s="7">
        <v>0</v>
      </c>
      <c r="AK6" s="7">
        <v>0</v>
      </c>
      <c r="AL6" s="7" t="s">
        <v>609</v>
      </c>
      <c r="AM6" s="7" t="s">
        <v>610</v>
      </c>
      <c r="AN6" s="7" t="s">
        <v>35</v>
      </c>
      <c r="AO6" s="7" t="s">
        <v>35</v>
      </c>
      <c r="AP6" s="7" t="s">
        <v>35</v>
      </c>
      <c r="AQ6" s="7" t="s">
        <v>35</v>
      </c>
      <c r="AR6" s="7" t="s">
        <v>35</v>
      </c>
      <c r="AS6" s="7" t="s">
        <v>35</v>
      </c>
      <c r="AT6" s="21">
        <v>84.76000000000001</v>
      </c>
      <c r="AU6" s="21" t="s">
        <v>634</v>
      </c>
      <c r="AV6" s="21" t="s">
        <v>635</v>
      </c>
      <c r="AW6" s="21">
        <v>0</v>
      </c>
      <c r="AX6" s="21" t="s">
        <v>35</v>
      </c>
      <c r="AY6" s="21">
        <v>98.56</v>
      </c>
      <c r="AZ6" s="21">
        <v>100</v>
      </c>
      <c r="BA6" s="21">
        <v>100</v>
      </c>
      <c r="BB6" s="21">
        <v>100</v>
      </c>
      <c r="BC6" s="21">
        <v>94</v>
      </c>
      <c r="BD6" s="21">
        <v>100</v>
      </c>
    </row>
    <row r="7" spans="1:59">
      <c r="A7" s="8" t="s">
        <v>638</v>
      </c>
      <c r="B7" s="8" t="s">
        <v>612</v>
      </c>
      <c r="C7" s="7" t="s">
        <v>66</v>
      </c>
      <c r="D7" s="7" t="s">
        <v>68</v>
      </c>
      <c r="E7" s="7" t="s">
        <v>33</v>
      </c>
      <c r="F7" s="7">
        <v>2</v>
      </c>
      <c r="G7" s="7">
        <v>120</v>
      </c>
      <c r="H7" s="7" t="s">
        <v>220</v>
      </c>
      <c r="I7" s="7">
        <v>50</v>
      </c>
      <c r="J7" s="7" t="s">
        <v>229</v>
      </c>
      <c r="K7" s="7">
        <v>90</v>
      </c>
      <c r="L7" s="7" t="s">
        <v>238</v>
      </c>
      <c r="M7" s="7" t="s">
        <v>244</v>
      </c>
      <c r="N7" s="7" t="s">
        <v>250</v>
      </c>
      <c r="O7" s="7">
        <v>90</v>
      </c>
      <c r="P7" s="7" t="s">
        <v>244</v>
      </c>
      <c r="Q7" s="7" t="s">
        <v>250</v>
      </c>
      <c r="R7" s="7">
        <v>30</v>
      </c>
      <c r="S7" s="7">
        <v>70</v>
      </c>
      <c r="T7" s="7">
        <v>35</v>
      </c>
      <c r="U7" s="7">
        <v>90</v>
      </c>
      <c r="V7" s="7">
        <v>180</v>
      </c>
      <c r="W7" s="7">
        <v>1.1</v>
      </c>
      <c r="X7" s="7">
        <v>5</v>
      </c>
      <c r="Y7" s="7">
        <v>24</v>
      </c>
      <c r="Z7" s="7">
        <v>12</v>
      </c>
      <c r="AA7" s="7">
        <v>30</v>
      </c>
      <c r="AB7" s="7">
        <v>20</v>
      </c>
      <c r="AC7" s="7">
        <v>70</v>
      </c>
      <c r="AD7" s="7">
        <v>78</v>
      </c>
      <c r="AE7" s="7">
        <v>100</v>
      </c>
      <c r="AF7" s="7" t="s">
        <v>299</v>
      </c>
      <c r="AG7" s="7">
        <v>2</v>
      </c>
      <c r="AH7" s="7">
        <v>-5</v>
      </c>
      <c r="AI7" s="7">
        <v>0</v>
      </c>
      <c r="AJ7" s="7">
        <v>0</v>
      </c>
      <c r="AK7" s="7">
        <v>0</v>
      </c>
      <c r="AL7" s="7" t="s">
        <v>609</v>
      </c>
      <c r="AM7" s="7" t="s">
        <v>610</v>
      </c>
      <c r="AN7" s="7" t="s">
        <v>35</v>
      </c>
      <c r="AO7" s="7" t="s">
        <v>35</v>
      </c>
      <c r="AP7" s="7" t="s">
        <v>35</v>
      </c>
      <c r="AQ7" s="7" t="s">
        <v>35</v>
      </c>
      <c r="AR7" s="7" t="s">
        <v>35</v>
      </c>
      <c r="AS7" s="7" t="s">
        <v>35</v>
      </c>
      <c r="AT7" s="21">
        <v>54.86</v>
      </c>
      <c r="AU7" s="21" t="s">
        <v>639</v>
      </c>
      <c r="AV7" s="21" t="s">
        <v>640</v>
      </c>
      <c r="AW7" s="21">
        <v>0</v>
      </c>
      <c r="AX7" s="21" t="s">
        <v>35</v>
      </c>
      <c r="AY7" s="21">
        <v>60.96</v>
      </c>
      <c r="AZ7" s="21">
        <v>60</v>
      </c>
      <c r="BA7" s="21">
        <v>60</v>
      </c>
      <c r="BB7" s="21">
        <v>60</v>
      </c>
      <c r="BC7" s="21">
        <v>64</v>
      </c>
      <c r="BD7" s="21">
        <v>68</v>
      </c>
    </row>
    <row r="8" spans="1:59">
      <c r="A8" s="8" t="s">
        <v>641</v>
      </c>
      <c r="B8" s="8" t="s">
        <v>642</v>
      </c>
      <c r="C8" s="7"/>
      <c r="D8" s="7"/>
      <c r="E8" s="7" t="s">
        <v>33</v>
      </c>
      <c r="F8" s="7">
        <v>2</v>
      </c>
      <c r="G8" s="7">
        <v>120</v>
      </c>
      <c r="H8" s="7" t="s">
        <v>220</v>
      </c>
      <c r="I8" s="7">
        <v>50</v>
      </c>
      <c r="J8" s="7" t="s">
        <v>229</v>
      </c>
      <c r="K8" s="7">
        <v>90</v>
      </c>
      <c r="L8" s="7" t="s">
        <v>238</v>
      </c>
      <c r="M8" s="7" t="s">
        <v>244</v>
      </c>
      <c r="N8" s="7" t="s">
        <v>250</v>
      </c>
      <c r="O8" s="7">
        <v>90</v>
      </c>
      <c r="P8" s="7" t="s">
        <v>244</v>
      </c>
      <c r="Q8" s="7" t="s">
        <v>250</v>
      </c>
      <c r="R8" s="7">
        <v>30</v>
      </c>
      <c r="S8" s="7">
        <v>70</v>
      </c>
      <c r="T8" s="7">
        <v>35</v>
      </c>
      <c r="U8" s="7">
        <v>90</v>
      </c>
      <c r="V8" s="7">
        <v>180</v>
      </c>
      <c r="W8" s="7">
        <v>0.9</v>
      </c>
      <c r="X8" s="7">
        <v>5</v>
      </c>
      <c r="Y8" s="7">
        <v>24</v>
      </c>
      <c r="Z8" s="7">
        <v>12</v>
      </c>
      <c r="AA8" s="7">
        <v>30</v>
      </c>
      <c r="AB8" s="7">
        <v>20</v>
      </c>
      <c r="AC8" s="7">
        <v>70</v>
      </c>
      <c r="AD8" s="7">
        <v>78</v>
      </c>
      <c r="AE8" s="7">
        <v>100</v>
      </c>
      <c r="AF8" s="7" t="s">
        <v>299</v>
      </c>
      <c r="AG8" s="7">
        <v>2</v>
      </c>
      <c r="AH8" s="7">
        <v>-5</v>
      </c>
      <c r="AI8" s="7">
        <v>0</v>
      </c>
      <c r="AJ8" s="7">
        <v>0</v>
      </c>
      <c r="AK8" s="7">
        <v>0</v>
      </c>
      <c r="AL8" s="7" t="s">
        <v>609</v>
      </c>
      <c r="AM8" s="7" t="s">
        <v>610</v>
      </c>
      <c r="AN8" s="7" t="s">
        <v>35</v>
      </c>
      <c r="AO8" s="7" t="s">
        <v>40</v>
      </c>
      <c r="AP8" s="7" t="s">
        <v>35</v>
      </c>
      <c r="AQ8" s="7" t="s">
        <v>35</v>
      </c>
      <c r="AR8" s="7" t="s">
        <v>35</v>
      </c>
      <c r="AS8" s="7" t="s">
        <v>35</v>
      </c>
      <c r="AT8" s="21">
        <v>12.86</v>
      </c>
      <c r="AU8" s="21" t="s">
        <v>643</v>
      </c>
      <c r="AV8" s="21" t="s">
        <v>644</v>
      </c>
      <c r="AW8" s="21">
        <v>45</v>
      </c>
      <c r="AX8" s="21" t="s">
        <v>35</v>
      </c>
      <c r="AY8" s="21">
        <v>57.86</v>
      </c>
      <c r="AZ8" s="21">
        <v>60</v>
      </c>
      <c r="BA8" s="21">
        <v>60</v>
      </c>
      <c r="BB8" s="21">
        <v>50</v>
      </c>
      <c r="BC8" s="21">
        <v>64</v>
      </c>
      <c r="BD8" s="21">
        <v>68</v>
      </c>
    </row>
    <row r="9" spans="1:59">
      <c r="A9" s="8" t="s">
        <v>645</v>
      </c>
      <c r="B9" s="8" t="s">
        <v>646</v>
      </c>
      <c r="C9" s="7"/>
      <c r="D9" s="7"/>
      <c r="E9" s="7" t="s">
        <v>33</v>
      </c>
      <c r="F9" s="7">
        <v>8</v>
      </c>
      <c r="G9" s="7">
        <v>85</v>
      </c>
      <c r="H9" s="7" t="s">
        <v>222</v>
      </c>
      <c r="I9" s="7">
        <v>35</v>
      </c>
      <c r="J9" s="7" t="s">
        <v>231</v>
      </c>
      <c r="K9" s="7">
        <v>100</v>
      </c>
      <c r="L9" s="7" t="s">
        <v>240</v>
      </c>
      <c r="M9" s="7" t="s">
        <v>246</v>
      </c>
      <c r="N9" s="7" t="s">
        <v>252</v>
      </c>
      <c r="O9" s="7">
        <v>100</v>
      </c>
      <c r="P9" s="7" t="s">
        <v>257</v>
      </c>
      <c r="Q9" s="7" t="s">
        <v>257</v>
      </c>
      <c r="R9" s="7">
        <v>22</v>
      </c>
      <c r="S9" s="7">
        <v>100</v>
      </c>
      <c r="T9" s="7">
        <v>62</v>
      </c>
      <c r="U9" s="7">
        <v>100</v>
      </c>
      <c r="V9" s="7">
        <v>90</v>
      </c>
      <c r="W9" s="7">
        <v>1.35</v>
      </c>
      <c r="X9" s="7">
        <v>0</v>
      </c>
      <c r="Y9" s="7">
        <v>16</v>
      </c>
      <c r="Z9" s="7">
        <v>18</v>
      </c>
      <c r="AA9" s="7">
        <v>55</v>
      </c>
      <c r="AB9" s="7">
        <v>27</v>
      </c>
      <c r="AC9" s="7">
        <v>61</v>
      </c>
      <c r="AD9" s="7">
        <v>65</v>
      </c>
      <c r="AE9" s="7">
        <v>125</v>
      </c>
      <c r="AF9" s="7" t="s">
        <v>299</v>
      </c>
      <c r="AG9" s="7">
        <v>3.2</v>
      </c>
      <c r="AH9" s="7">
        <v>5</v>
      </c>
      <c r="AI9" s="7">
        <v>120</v>
      </c>
      <c r="AJ9" s="7">
        <v>0</v>
      </c>
      <c r="AK9" s="7">
        <v>0</v>
      </c>
      <c r="AL9" s="7" t="s">
        <v>609</v>
      </c>
      <c r="AM9" s="7" t="s">
        <v>610</v>
      </c>
      <c r="AN9" s="7" t="s">
        <v>35</v>
      </c>
      <c r="AO9" s="7" t="s">
        <v>35</v>
      </c>
      <c r="AP9" s="7" t="s">
        <v>35</v>
      </c>
      <c r="AQ9" s="7" t="s">
        <v>35</v>
      </c>
      <c r="AR9" s="7" t="s">
        <v>35</v>
      </c>
      <c r="AS9" s="7" t="s">
        <v>35</v>
      </c>
      <c r="AT9" s="21">
        <v>98.56</v>
      </c>
      <c r="AU9" s="21" t="s">
        <v>643</v>
      </c>
      <c r="AV9" s="21" t="s">
        <v>647</v>
      </c>
      <c r="AW9" s="21">
        <v>0</v>
      </c>
      <c r="AX9" s="21" t="s">
        <v>35</v>
      </c>
      <c r="AY9" s="21">
        <v>98.56</v>
      </c>
      <c r="AZ9" s="21">
        <v>100</v>
      </c>
      <c r="BA9" s="21">
        <v>100</v>
      </c>
      <c r="BB9" s="21">
        <v>100</v>
      </c>
      <c r="BC9" s="21">
        <v>94</v>
      </c>
      <c r="BD9" s="21">
        <v>100</v>
      </c>
    </row>
    <row r="10" spans="1:59">
      <c r="A10" s="8" t="s">
        <v>648</v>
      </c>
      <c r="B10" s="8" t="s">
        <v>649</v>
      </c>
      <c r="C10" s="7"/>
      <c r="D10" s="7"/>
      <c r="E10" s="7" t="s">
        <v>33</v>
      </c>
      <c r="F10" s="7">
        <v>8</v>
      </c>
      <c r="G10" s="7">
        <v>85</v>
      </c>
      <c r="H10" s="7" t="s">
        <v>222</v>
      </c>
      <c r="I10" s="7">
        <v>35</v>
      </c>
      <c r="J10" s="7" t="s">
        <v>231</v>
      </c>
      <c r="K10" s="7">
        <v>100</v>
      </c>
      <c r="L10" s="7" t="s">
        <v>240</v>
      </c>
      <c r="M10" s="7" t="s">
        <v>246</v>
      </c>
      <c r="N10" s="7" t="s">
        <v>252</v>
      </c>
      <c r="O10" s="7">
        <v>100</v>
      </c>
      <c r="P10" s="7" t="s">
        <v>257</v>
      </c>
      <c r="Q10" s="7" t="s">
        <v>257</v>
      </c>
      <c r="R10" s="7">
        <v>22</v>
      </c>
      <c r="S10" s="7">
        <v>100</v>
      </c>
      <c r="T10" s="7">
        <v>62</v>
      </c>
      <c r="U10" s="7">
        <v>100</v>
      </c>
      <c r="V10" s="7">
        <v>90</v>
      </c>
      <c r="W10" s="7">
        <v>0.99</v>
      </c>
      <c r="X10" s="7">
        <v>0</v>
      </c>
      <c r="Y10" s="7">
        <v>16</v>
      </c>
      <c r="Z10" s="7">
        <v>18</v>
      </c>
      <c r="AA10" s="7">
        <v>55</v>
      </c>
      <c r="AB10" s="7">
        <v>27</v>
      </c>
      <c r="AC10" s="7">
        <v>61</v>
      </c>
      <c r="AD10" s="7">
        <v>65</v>
      </c>
      <c r="AE10" s="7">
        <v>125</v>
      </c>
      <c r="AF10" s="7" t="s">
        <v>299</v>
      </c>
      <c r="AG10" s="7">
        <v>3.2</v>
      </c>
      <c r="AH10" s="7">
        <v>5</v>
      </c>
      <c r="AI10" s="7">
        <v>0</v>
      </c>
      <c r="AJ10" s="7">
        <v>0</v>
      </c>
      <c r="AK10" s="7">
        <v>0</v>
      </c>
      <c r="AL10" s="7" t="s">
        <v>609</v>
      </c>
      <c r="AM10" s="7" t="s">
        <v>610</v>
      </c>
      <c r="AN10" s="7" t="s">
        <v>35</v>
      </c>
      <c r="AO10" s="7" t="s">
        <v>35</v>
      </c>
      <c r="AP10" s="7" t="s">
        <v>35</v>
      </c>
      <c r="AQ10" s="7" t="s">
        <v>35</v>
      </c>
      <c r="AR10" s="7" t="s">
        <v>35</v>
      </c>
      <c r="AS10" s="7" t="s">
        <v>35</v>
      </c>
      <c r="AT10" s="21">
        <v>67.98</v>
      </c>
      <c r="AU10" s="21" t="s">
        <v>650</v>
      </c>
      <c r="AV10" s="21" t="s">
        <v>651</v>
      </c>
      <c r="AW10" s="21">
        <v>25</v>
      </c>
      <c r="AX10" s="21" t="s">
        <v>35</v>
      </c>
      <c r="AY10" s="21">
        <v>92.98</v>
      </c>
      <c r="AZ10" s="21">
        <v>100</v>
      </c>
      <c r="BA10" s="21">
        <v>100</v>
      </c>
      <c r="BB10" s="21">
        <v>82</v>
      </c>
      <c r="BC10" s="21">
        <v>94</v>
      </c>
      <c r="BD10" s="21">
        <v>100</v>
      </c>
    </row>
    <row r="11" spans="1:59">
      <c r="A11" s="8" t="s">
        <v>652</v>
      </c>
      <c r="B11" s="8" t="s">
        <v>653</v>
      </c>
      <c r="C11" s="7"/>
      <c r="D11" s="7"/>
      <c r="E11" s="7" t="s">
        <v>33</v>
      </c>
      <c r="F11" s="7">
        <v>8</v>
      </c>
      <c r="G11" s="7">
        <v>85</v>
      </c>
      <c r="H11" s="7" t="s">
        <v>222</v>
      </c>
      <c r="I11" s="7">
        <v>35</v>
      </c>
      <c r="J11" s="7" t="s">
        <v>231</v>
      </c>
      <c r="K11" s="7">
        <v>100</v>
      </c>
      <c r="L11" s="7" t="s">
        <v>240</v>
      </c>
      <c r="M11" s="7" t="s">
        <v>246</v>
      </c>
      <c r="N11" s="7" t="s">
        <v>252</v>
      </c>
      <c r="O11" s="7">
        <v>100</v>
      </c>
      <c r="P11" s="7" t="s">
        <v>257</v>
      </c>
      <c r="Q11" s="7" t="s">
        <v>257</v>
      </c>
      <c r="R11" s="7">
        <v>22</v>
      </c>
      <c r="S11" s="7">
        <v>100</v>
      </c>
      <c r="T11" s="7">
        <v>62</v>
      </c>
      <c r="U11" s="7">
        <v>100</v>
      </c>
      <c r="V11" s="7">
        <v>90</v>
      </c>
      <c r="W11" s="7"/>
      <c r="X11" s="7">
        <v>0</v>
      </c>
      <c r="Y11" s="7">
        <v>16</v>
      </c>
      <c r="Z11" s="7">
        <v>18</v>
      </c>
      <c r="AA11" s="7">
        <v>55</v>
      </c>
      <c r="AB11" s="7">
        <v>27</v>
      </c>
      <c r="AC11" s="7">
        <v>61</v>
      </c>
      <c r="AD11" s="7">
        <v>65</v>
      </c>
      <c r="AE11" s="7">
        <v>125</v>
      </c>
      <c r="AF11" s="7" t="s">
        <v>299</v>
      </c>
      <c r="AG11" s="7">
        <v>3.2</v>
      </c>
      <c r="AH11" s="7">
        <v>5</v>
      </c>
      <c r="AI11" s="7">
        <v>0</v>
      </c>
      <c r="AJ11" s="7">
        <v>0</v>
      </c>
      <c r="AK11" s="7">
        <v>0</v>
      </c>
      <c r="AL11" s="7" t="s">
        <v>609</v>
      </c>
      <c r="AM11" s="7" t="s">
        <v>610</v>
      </c>
      <c r="AN11" s="7" t="s">
        <v>35</v>
      </c>
      <c r="AO11" s="7" t="s">
        <v>35</v>
      </c>
      <c r="AP11" s="7" t="s">
        <v>35</v>
      </c>
      <c r="AQ11" s="7" t="s">
        <v>35</v>
      </c>
      <c r="AR11" s="7" t="s">
        <v>35</v>
      </c>
      <c r="AS11" s="7" t="s">
        <v>35</v>
      </c>
      <c r="AT11" s="21">
        <v>67.98</v>
      </c>
      <c r="AU11" s="21" t="s">
        <v>654</v>
      </c>
      <c r="AV11" s="21" t="s">
        <v>655</v>
      </c>
      <c r="AW11" s="21">
        <v>25</v>
      </c>
      <c r="AX11" s="21" t="s">
        <v>40</v>
      </c>
      <c r="AY11" s="21">
        <v>92.98</v>
      </c>
      <c r="AZ11" s="21">
        <v>100</v>
      </c>
      <c r="BA11" s="21">
        <v>100</v>
      </c>
      <c r="BB11" s="21">
        <v>82</v>
      </c>
      <c r="BC11" s="21">
        <v>94</v>
      </c>
      <c r="BD11" s="21">
        <v>100</v>
      </c>
    </row>
    <row r="12" spans="1:59">
      <c r="A12" s="8" t="s">
        <v>656</v>
      </c>
      <c r="B12" s="8" t="s">
        <v>657</v>
      </c>
      <c r="C12" s="7"/>
      <c r="D12" s="7"/>
      <c r="E12" s="7" t="s">
        <v>38</v>
      </c>
      <c r="F12" s="7">
        <v>8</v>
      </c>
      <c r="G12" s="7">
        <v>85</v>
      </c>
      <c r="H12" s="7" t="s">
        <v>222</v>
      </c>
      <c r="I12" s="7">
        <v>35</v>
      </c>
      <c r="J12" s="7" t="s">
        <v>231</v>
      </c>
      <c r="K12" s="7">
        <v>100</v>
      </c>
      <c r="L12" s="7" t="s">
        <v>240</v>
      </c>
      <c r="M12" s="7" t="s">
        <v>246</v>
      </c>
      <c r="N12" s="7" t="s">
        <v>252</v>
      </c>
      <c r="O12" s="7">
        <v>100</v>
      </c>
      <c r="P12" s="7" t="s">
        <v>257</v>
      </c>
      <c r="Q12" s="7" t="s">
        <v>257</v>
      </c>
      <c r="R12" s="7">
        <v>22</v>
      </c>
      <c r="S12" s="7">
        <v>100</v>
      </c>
      <c r="T12" s="7">
        <v>62</v>
      </c>
      <c r="U12" s="7">
        <v>100</v>
      </c>
      <c r="V12" s="7">
        <v>90</v>
      </c>
      <c r="W12" s="7">
        <v>1.35</v>
      </c>
      <c r="X12" s="7">
        <v>0</v>
      </c>
      <c r="Y12" s="7">
        <v>16</v>
      </c>
      <c r="Z12" s="7">
        <v>18</v>
      </c>
      <c r="AA12" s="7">
        <v>55</v>
      </c>
      <c r="AB12" s="7">
        <v>27</v>
      </c>
      <c r="AC12" s="7">
        <v>61</v>
      </c>
      <c r="AD12" s="7">
        <v>65</v>
      </c>
      <c r="AE12" s="7">
        <v>125</v>
      </c>
      <c r="AF12" s="7" t="s">
        <v>299</v>
      </c>
      <c r="AG12" s="7">
        <v>3.2</v>
      </c>
      <c r="AH12" s="7">
        <v>5</v>
      </c>
      <c r="AI12" s="7">
        <v>0</v>
      </c>
      <c r="AJ12" s="7">
        <v>0</v>
      </c>
      <c r="AK12" s="7">
        <v>0</v>
      </c>
      <c r="AL12" s="7" t="s">
        <v>609</v>
      </c>
      <c r="AM12" s="7" t="s">
        <v>610</v>
      </c>
      <c r="AN12" s="7" t="s">
        <v>35</v>
      </c>
      <c r="AO12" s="7" t="s">
        <v>35</v>
      </c>
      <c r="AP12" s="7" t="s">
        <v>35</v>
      </c>
      <c r="AQ12" s="7" t="s">
        <v>35</v>
      </c>
      <c r="AR12" s="7" t="s">
        <v>35</v>
      </c>
      <c r="AS12" s="7" t="s">
        <v>35</v>
      </c>
      <c r="AT12" s="21">
        <v>68.98999999999999</v>
      </c>
      <c r="AU12" s="21" t="s">
        <v>643</v>
      </c>
      <c r="AV12" s="21" t="s">
        <v>30</v>
      </c>
      <c r="AW12" s="21">
        <v>0</v>
      </c>
      <c r="AX12" s="21" t="s">
        <v>35</v>
      </c>
      <c r="AY12" s="21">
        <v>98.56</v>
      </c>
      <c r="AZ12" s="21">
        <v>100</v>
      </c>
      <c r="BA12" s="21">
        <v>100</v>
      </c>
      <c r="BB12" s="21">
        <v>100</v>
      </c>
      <c r="BC12" s="21">
        <v>94</v>
      </c>
      <c r="BD12" s="21">
        <v>100</v>
      </c>
    </row>
    <row r="13" spans="1:59">
      <c r="A13" s="8" t="s">
        <v>658</v>
      </c>
      <c r="B13" s="8" t="s">
        <v>659</v>
      </c>
      <c r="C13" s="7"/>
      <c r="D13" s="7"/>
      <c r="E13" s="7" t="s">
        <v>45</v>
      </c>
      <c r="F13" s="7">
        <v>8</v>
      </c>
      <c r="G13" s="7">
        <v>85</v>
      </c>
      <c r="H13" s="7" t="s">
        <v>222</v>
      </c>
      <c r="I13" s="7">
        <v>35</v>
      </c>
      <c r="J13" s="7" t="s">
        <v>231</v>
      </c>
      <c r="K13" s="7">
        <v>100</v>
      </c>
      <c r="L13" s="7" t="s">
        <v>240</v>
      </c>
      <c r="M13" s="7" t="s">
        <v>246</v>
      </c>
      <c r="N13" s="7" t="s">
        <v>252</v>
      </c>
      <c r="O13" s="7">
        <v>100</v>
      </c>
      <c r="P13" s="7" t="s">
        <v>257</v>
      </c>
      <c r="Q13" s="7" t="s">
        <v>257</v>
      </c>
      <c r="R13" s="7">
        <v>22</v>
      </c>
      <c r="S13" s="7">
        <v>100</v>
      </c>
      <c r="T13" s="7">
        <v>62</v>
      </c>
      <c r="U13" s="7">
        <v>100</v>
      </c>
      <c r="V13" s="7">
        <v>90</v>
      </c>
      <c r="W13" s="7">
        <v>1.35</v>
      </c>
      <c r="X13" s="7">
        <v>0</v>
      </c>
      <c r="Y13" s="7">
        <v>16</v>
      </c>
      <c r="Z13" s="7">
        <v>18</v>
      </c>
      <c r="AA13" s="7">
        <v>55</v>
      </c>
      <c r="AB13" s="7">
        <v>27</v>
      </c>
      <c r="AC13" s="7">
        <v>61</v>
      </c>
      <c r="AD13" s="7">
        <v>65</v>
      </c>
      <c r="AE13" s="7">
        <v>125</v>
      </c>
      <c r="AF13" s="7" t="s">
        <v>299</v>
      </c>
      <c r="AG13" s="7">
        <v>3.2</v>
      </c>
      <c r="AH13" s="7">
        <v>5</v>
      </c>
      <c r="AI13" s="7">
        <v>0</v>
      </c>
      <c r="AJ13" s="7">
        <v>0</v>
      </c>
      <c r="AK13" s="7">
        <v>0</v>
      </c>
      <c r="AL13" s="7" t="s">
        <v>609</v>
      </c>
      <c r="AM13" s="7" t="s">
        <v>610</v>
      </c>
      <c r="AN13" s="7" t="s">
        <v>35</v>
      </c>
      <c r="AO13" s="7" t="s">
        <v>35</v>
      </c>
      <c r="AP13" s="7" t="s">
        <v>35</v>
      </c>
      <c r="AQ13" s="7" t="s">
        <v>35</v>
      </c>
      <c r="AR13" s="7" t="s">
        <v>35</v>
      </c>
      <c r="AS13" s="7" t="s">
        <v>35</v>
      </c>
      <c r="AT13" s="21">
        <v>0</v>
      </c>
      <c r="AU13" s="21" t="s">
        <v>643</v>
      </c>
      <c r="AV13" s="21" t="s">
        <v>647</v>
      </c>
      <c r="AW13" s="21">
        <v>0</v>
      </c>
      <c r="AX13" s="21" t="s">
        <v>35</v>
      </c>
      <c r="AY13" s="21">
        <v>98.56</v>
      </c>
      <c r="AZ13" s="21">
        <v>100</v>
      </c>
      <c r="BA13" s="21">
        <v>100</v>
      </c>
      <c r="BB13" s="21">
        <v>100</v>
      </c>
      <c r="BC13" s="21">
        <v>94</v>
      </c>
      <c r="BD13" s="21">
        <v>100</v>
      </c>
    </row>
    <row r="14" spans="1:59">
      <c r="A14" s="8" t="s">
        <v>660</v>
      </c>
      <c r="B14" s="8" t="s">
        <v>661</v>
      </c>
      <c r="C14" s="7"/>
      <c r="D14" s="7"/>
      <c r="E14" s="7" t="s">
        <v>36</v>
      </c>
      <c r="F14" s="7">
        <v>8</v>
      </c>
      <c r="G14" s="7">
        <v>85</v>
      </c>
      <c r="H14" s="7" t="s">
        <v>222</v>
      </c>
      <c r="I14" s="7">
        <v>35</v>
      </c>
      <c r="J14" s="7" t="s">
        <v>231</v>
      </c>
      <c r="K14" s="7">
        <v>100</v>
      </c>
      <c r="L14" s="7" t="s">
        <v>240</v>
      </c>
      <c r="M14" s="7" t="s">
        <v>246</v>
      </c>
      <c r="N14" s="7" t="s">
        <v>252</v>
      </c>
      <c r="O14" s="7">
        <v>100</v>
      </c>
      <c r="P14" s="7" t="s">
        <v>257</v>
      </c>
      <c r="Q14" s="7" t="s">
        <v>257</v>
      </c>
      <c r="R14" s="7">
        <v>22</v>
      </c>
      <c r="S14" s="7">
        <v>100</v>
      </c>
      <c r="T14" s="7">
        <v>62</v>
      </c>
      <c r="U14" s="7">
        <v>100</v>
      </c>
      <c r="V14" s="7">
        <v>90</v>
      </c>
      <c r="W14" s="7">
        <v>1.35</v>
      </c>
      <c r="X14" s="7">
        <v>0</v>
      </c>
      <c r="Y14" s="7">
        <v>16</v>
      </c>
      <c r="Z14" s="7">
        <v>18</v>
      </c>
      <c r="AA14" s="7">
        <v>55</v>
      </c>
      <c r="AB14" s="7">
        <v>27</v>
      </c>
      <c r="AC14" s="7">
        <v>61</v>
      </c>
      <c r="AD14" s="7">
        <v>65</v>
      </c>
      <c r="AE14" s="7">
        <v>125</v>
      </c>
      <c r="AF14" s="7" t="s">
        <v>299</v>
      </c>
      <c r="AG14" s="7">
        <v>3.2</v>
      </c>
      <c r="AH14" s="7">
        <v>5</v>
      </c>
      <c r="AI14" s="7">
        <v>0</v>
      </c>
      <c r="AJ14" s="7">
        <v>0</v>
      </c>
      <c r="AK14" s="7">
        <v>0</v>
      </c>
      <c r="AL14" s="7" t="s">
        <v>609</v>
      </c>
      <c r="AM14" s="7" t="s">
        <v>610</v>
      </c>
      <c r="AN14" s="7" t="s">
        <v>35</v>
      </c>
      <c r="AO14" s="7" t="s">
        <v>35</v>
      </c>
      <c r="AP14" s="7" t="s">
        <v>35</v>
      </c>
      <c r="AQ14" s="7" t="s">
        <v>35</v>
      </c>
      <c r="AR14" s="7" t="s">
        <v>35</v>
      </c>
      <c r="AS14" s="7" t="s">
        <v>35</v>
      </c>
      <c r="AT14" s="21">
        <v>88.7</v>
      </c>
      <c r="AU14" s="21" t="s">
        <v>634</v>
      </c>
      <c r="AV14" s="21" t="s">
        <v>635</v>
      </c>
      <c r="AW14" s="21">
        <v>0</v>
      </c>
      <c r="AX14" s="21" t="s">
        <v>35</v>
      </c>
      <c r="AY14" s="21">
        <v>98.56</v>
      </c>
      <c r="AZ14" s="21">
        <v>100</v>
      </c>
      <c r="BA14" s="21">
        <v>100</v>
      </c>
      <c r="BB14" s="21">
        <v>100</v>
      </c>
      <c r="BC14" s="21">
        <v>94</v>
      </c>
      <c r="BD14" s="21">
        <v>100</v>
      </c>
    </row>
    <row r="15" spans="1:59">
      <c r="A15" s="8" t="s">
        <v>662</v>
      </c>
      <c r="B15" s="8" t="s">
        <v>663</v>
      </c>
      <c r="C15" s="7"/>
      <c r="D15" s="7"/>
      <c r="E15" s="7" t="s">
        <v>33</v>
      </c>
      <c r="F15" s="7">
        <v>8</v>
      </c>
      <c r="G15" s="7">
        <v>85</v>
      </c>
      <c r="H15" s="7" t="s">
        <v>222</v>
      </c>
      <c r="I15" s="7">
        <v>35</v>
      </c>
      <c r="J15" s="7" t="s">
        <v>231</v>
      </c>
      <c r="K15" s="7">
        <v>50</v>
      </c>
      <c r="L15" s="7" t="s">
        <v>240</v>
      </c>
      <c r="M15" s="7" t="s">
        <v>246</v>
      </c>
      <c r="N15" s="7" t="s">
        <v>252</v>
      </c>
      <c r="O15" s="7">
        <v>100</v>
      </c>
      <c r="P15" s="7" t="s">
        <v>257</v>
      </c>
      <c r="Q15" s="7" t="s">
        <v>257</v>
      </c>
      <c r="R15" s="7">
        <v>22</v>
      </c>
      <c r="S15" s="7">
        <v>100</v>
      </c>
      <c r="T15" s="7">
        <v>62</v>
      </c>
      <c r="U15" s="7">
        <v>100</v>
      </c>
      <c r="V15" s="7">
        <v>90</v>
      </c>
      <c r="W15" s="7">
        <v>1.35</v>
      </c>
      <c r="X15" s="7">
        <v>0</v>
      </c>
      <c r="Y15" s="7">
        <v>16</v>
      </c>
      <c r="Z15" s="7">
        <v>18</v>
      </c>
      <c r="AA15" s="7">
        <v>55</v>
      </c>
      <c r="AB15" s="7">
        <v>27</v>
      </c>
      <c r="AC15" s="7">
        <v>61</v>
      </c>
      <c r="AD15" s="7">
        <v>65</v>
      </c>
      <c r="AE15" s="7">
        <v>125</v>
      </c>
      <c r="AF15" s="7" t="s">
        <v>299</v>
      </c>
      <c r="AG15" s="7">
        <v>3.2</v>
      </c>
      <c r="AH15" s="7">
        <v>5</v>
      </c>
      <c r="AI15" s="7">
        <v>0</v>
      </c>
      <c r="AJ15" s="7">
        <v>0</v>
      </c>
      <c r="AK15" s="7">
        <v>0</v>
      </c>
      <c r="AL15" s="7" t="s">
        <v>609</v>
      </c>
      <c r="AM15" s="7" t="s">
        <v>610</v>
      </c>
      <c r="AN15" s="7" t="s">
        <v>35</v>
      </c>
      <c r="AO15" s="7" t="s">
        <v>35</v>
      </c>
      <c r="AP15" s="7" t="s">
        <v>35</v>
      </c>
      <c r="AQ15" s="7" t="s">
        <v>35</v>
      </c>
      <c r="AR15" s="7" t="s">
        <v>35</v>
      </c>
      <c r="AS15" s="7" t="s">
        <v>35</v>
      </c>
      <c r="AT15" s="21">
        <v>95.19</v>
      </c>
      <c r="AU15" s="21" t="s">
        <v>643</v>
      </c>
      <c r="AV15" s="21" t="s">
        <v>635</v>
      </c>
      <c r="AW15" s="21">
        <v>0</v>
      </c>
      <c r="AX15" s="21" t="s">
        <v>35</v>
      </c>
      <c r="AY15" s="21">
        <v>95.19</v>
      </c>
      <c r="AZ15" s="21">
        <v>86.5</v>
      </c>
      <c r="BA15" s="21">
        <v>100</v>
      </c>
      <c r="BB15" s="21">
        <v>100</v>
      </c>
      <c r="BC15" s="21">
        <v>94</v>
      </c>
      <c r="BD15" s="21">
        <v>100</v>
      </c>
    </row>
    <row r="16" spans="1:59">
      <c r="A16" s="8" t="s">
        <v>664</v>
      </c>
      <c r="B16" s="8" t="s">
        <v>614</v>
      </c>
      <c r="C16" s="7"/>
      <c r="D16" s="7"/>
      <c r="E16" s="7" t="s">
        <v>33</v>
      </c>
      <c r="F16" s="7">
        <v>8</v>
      </c>
      <c r="G16" s="7">
        <v>85</v>
      </c>
      <c r="H16" s="7" t="s">
        <v>222</v>
      </c>
      <c r="I16" s="7">
        <v>35</v>
      </c>
      <c r="J16" s="7" t="s">
        <v>231</v>
      </c>
      <c r="K16" s="7">
        <v>100</v>
      </c>
      <c r="L16" s="7" t="s">
        <v>240</v>
      </c>
      <c r="M16" s="7" t="s">
        <v>246</v>
      </c>
      <c r="N16" s="7" t="s">
        <v>252</v>
      </c>
      <c r="O16" s="7">
        <v>100</v>
      </c>
      <c r="P16" s="7" t="s">
        <v>257</v>
      </c>
      <c r="Q16" s="7" t="s">
        <v>257</v>
      </c>
      <c r="R16" s="7">
        <v>22</v>
      </c>
      <c r="S16" s="7">
        <v>100</v>
      </c>
      <c r="T16" s="7">
        <v>62</v>
      </c>
      <c r="U16" s="7">
        <v>100</v>
      </c>
      <c r="V16" s="7">
        <v>90</v>
      </c>
      <c r="W16" s="7">
        <v>1.35</v>
      </c>
      <c r="X16" s="7">
        <v>0</v>
      </c>
      <c r="Y16" s="7">
        <v>16</v>
      </c>
      <c r="Z16" s="7">
        <v>18</v>
      </c>
      <c r="AA16" s="7">
        <v>55</v>
      </c>
      <c r="AB16" s="7">
        <v>27</v>
      </c>
      <c r="AC16" s="7">
        <v>61</v>
      </c>
      <c r="AD16" s="7">
        <v>65</v>
      </c>
      <c r="AE16" s="7">
        <v>125</v>
      </c>
      <c r="AF16" s="7" t="s">
        <v>297</v>
      </c>
      <c r="AG16" s="7">
        <v>3.2</v>
      </c>
      <c r="AH16" s="7">
        <v>5</v>
      </c>
      <c r="AI16" s="7">
        <v>0</v>
      </c>
      <c r="AJ16" s="7">
        <v>0</v>
      </c>
      <c r="AK16" s="7">
        <v>0</v>
      </c>
      <c r="AL16" s="7" t="s">
        <v>371</v>
      </c>
      <c r="AM16" s="7" t="s">
        <v>610</v>
      </c>
      <c r="AN16" s="7" t="s">
        <v>35</v>
      </c>
      <c r="AO16" s="7" t="s">
        <v>35</v>
      </c>
      <c r="AP16" s="7" t="s">
        <v>35</v>
      </c>
      <c r="AQ16" s="7" t="s">
        <v>35</v>
      </c>
      <c r="AR16" s="7" t="s">
        <v>35</v>
      </c>
      <c r="AS16" s="7" t="s">
        <v>35</v>
      </c>
      <c r="AT16" s="21">
        <v>46.4</v>
      </c>
      <c r="AU16" s="21" t="s">
        <v>643</v>
      </c>
      <c r="AV16" s="21" t="s">
        <v>644</v>
      </c>
      <c r="AW16" s="21">
        <v>50</v>
      </c>
      <c r="AX16" s="21" t="s">
        <v>35</v>
      </c>
      <c r="AY16" s="21">
        <v>96.40000000000001</v>
      </c>
      <c r="AZ16" s="21">
        <v>100</v>
      </c>
      <c r="BA16" s="21">
        <v>100</v>
      </c>
      <c r="BB16" s="21">
        <v>100</v>
      </c>
      <c r="BC16" s="21">
        <v>85</v>
      </c>
      <c r="BD16" s="21">
        <v>82</v>
      </c>
    </row>
    <row r="17" spans="1:56">
      <c r="A17" s="8" t="s">
        <v>665</v>
      </c>
      <c r="B17" s="8" t="s">
        <v>666</v>
      </c>
      <c r="C17" s="7" t="s">
        <v>667</v>
      </c>
      <c r="D17" s="7" t="s">
        <v>668</v>
      </c>
      <c r="E17" s="7" t="s">
        <v>33</v>
      </c>
      <c r="F17" s="7">
        <v>8</v>
      </c>
      <c r="G17" s="7">
        <v>85</v>
      </c>
      <c r="H17" s="7" t="s">
        <v>222</v>
      </c>
      <c r="I17" s="7">
        <v>35</v>
      </c>
      <c r="J17" s="7" t="s">
        <v>231</v>
      </c>
      <c r="K17" s="7">
        <v>100</v>
      </c>
      <c r="L17" s="7" t="s">
        <v>240</v>
      </c>
      <c r="M17" s="7" t="s">
        <v>246</v>
      </c>
      <c r="N17" s="7" t="s">
        <v>252</v>
      </c>
      <c r="O17" s="7">
        <v>100</v>
      </c>
      <c r="P17" s="7" t="s">
        <v>257</v>
      </c>
      <c r="Q17" s="7" t="s">
        <v>257</v>
      </c>
      <c r="R17" s="7">
        <v>22</v>
      </c>
      <c r="S17" s="7">
        <v>100</v>
      </c>
      <c r="T17" s="7">
        <v>62</v>
      </c>
      <c r="U17" s="7">
        <v>100</v>
      </c>
      <c r="V17" s="7">
        <v>90</v>
      </c>
      <c r="W17" s="7">
        <v>1.35</v>
      </c>
      <c r="X17" s="7">
        <v>0</v>
      </c>
      <c r="Y17" s="7">
        <v>16</v>
      </c>
      <c r="Z17" s="7">
        <v>18</v>
      </c>
      <c r="AA17" s="7">
        <v>55</v>
      </c>
      <c r="AB17" s="7">
        <v>27</v>
      </c>
      <c r="AC17" s="7">
        <v>61</v>
      </c>
      <c r="AD17" s="7">
        <v>65</v>
      </c>
      <c r="AE17" s="7">
        <v>125</v>
      </c>
      <c r="AF17" s="7" t="s">
        <v>299</v>
      </c>
      <c r="AG17" s="7">
        <v>3.2</v>
      </c>
      <c r="AH17" s="7">
        <v>5</v>
      </c>
      <c r="AI17" s="7">
        <v>0</v>
      </c>
      <c r="AJ17" s="7">
        <v>0</v>
      </c>
      <c r="AK17" s="7">
        <v>0</v>
      </c>
      <c r="AL17" s="7" t="s">
        <v>609</v>
      </c>
      <c r="AM17" s="7" t="s">
        <v>610</v>
      </c>
      <c r="AN17" s="7" t="s">
        <v>35</v>
      </c>
      <c r="AO17" s="7" t="s">
        <v>35</v>
      </c>
      <c r="AP17" s="7" t="s">
        <v>35</v>
      </c>
      <c r="AQ17" s="7" t="s">
        <v>35</v>
      </c>
      <c r="AR17" s="7" t="s">
        <v>35</v>
      </c>
      <c r="AS17" s="7" t="s">
        <v>35</v>
      </c>
      <c r="AT17" s="21">
        <v>98.56</v>
      </c>
      <c r="AU17" s="21" t="s">
        <v>634</v>
      </c>
      <c r="AV17" s="21" t="s">
        <v>635</v>
      </c>
      <c r="AW17" s="21">
        <v>0</v>
      </c>
      <c r="AX17" s="21" t="s">
        <v>35</v>
      </c>
      <c r="AY17" s="21">
        <v>98.56</v>
      </c>
      <c r="AZ17" s="21">
        <v>100</v>
      </c>
      <c r="BA17" s="21">
        <v>100</v>
      </c>
      <c r="BB17" s="21">
        <v>100</v>
      </c>
      <c r="BC17" s="21">
        <v>94</v>
      </c>
      <c r="BD17" s="21">
        <v>100</v>
      </c>
    </row>
    <row r="18" spans="1:56">
      <c r="A18" s="8" t="s">
        <v>669</v>
      </c>
      <c r="B18" s="8" t="s">
        <v>670</v>
      </c>
      <c r="C18" s="7"/>
      <c r="D18" s="7"/>
      <c r="E18" s="7"/>
      <c r="F18" s="7">
        <v>8</v>
      </c>
      <c r="G18" s="7">
        <v>85</v>
      </c>
      <c r="H18" s="7" t="s">
        <v>222</v>
      </c>
      <c r="I18" s="7">
        <v>35</v>
      </c>
      <c r="J18" s="7" t="s">
        <v>231</v>
      </c>
      <c r="K18" s="7">
        <v>100</v>
      </c>
      <c r="L18" s="7" t="s">
        <v>240</v>
      </c>
      <c r="M18" s="7" t="s">
        <v>246</v>
      </c>
      <c r="N18" s="7" t="s">
        <v>252</v>
      </c>
      <c r="O18" s="7">
        <v>100</v>
      </c>
      <c r="P18" s="7" t="s">
        <v>257</v>
      </c>
      <c r="Q18" s="7" t="s">
        <v>257</v>
      </c>
      <c r="R18" s="7">
        <v>22</v>
      </c>
      <c r="S18" s="7">
        <v>100</v>
      </c>
      <c r="T18" s="7">
        <v>62</v>
      </c>
      <c r="U18" s="7">
        <v>100</v>
      </c>
      <c r="V18" s="7">
        <v>90</v>
      </c>
      <c r="W18" s="7">
        <v>1.35</v>
      </c>
      <c r="X18" s="7">
        <v>0</v>
      </c>
      <c r="Y18" s="7">
        <v>16</v>
      </c>
      <c r="Z18" s="7">
        <v>18</v>
      </c>
      <c r="AA18" s="7">
        <v>55</v>
      </c>
      <c r="AB18" s="7">
        <v>27</v>
      </c>
      <c r="AC18" s="7">
        <v>61</v>
      </c>
      <c r="AD18" s="7">
        <v>65</v>
      </c>
      <c r="AE18" s="7">
        <v>125</v>
      </c>
      <c r="AF18" s="7" t="s">
        <v>299</v>
      </c>
      <c r="AG18" s="7">
        <v>3.2</v>
      </c>
      <c r="AH18" s="7">
        <v>5</v>
      </c>
      <c r="AI18" s="7">
        <v>0</v>
      </c>
      <c r="AJ18" s="7">
        <v>0</v>
      </c>
      <c r="AK18" s="7">
        <v>0</v>
      </c>
      <c r="AL18" s="7" t="s">
        <v>609</v>
      </c>
      <c r="AM18" s="7" t="s">
        <v>610</v>
      </c>
      <c r="AN18" s="7" t="s">
        <v>35</v>
      </c>
      <c r="AO18" s="7" t="s">
        <v>35</v>
      </c>
      <c r="AP18" s="7" t="s">
        <v>35</v>
      </c>
      <c r="AQ18" s="7" t="s">
        <v>35</v>
      </c>
      <c r="AR18" s="7" t="s">
        <v>35</v>
      </c>
      <c r="AS18" s="7" t="s">
        <v>35</v>
      </c>
      <c r="AT18" s="21">
        <v>98.56</v>
      </c>
      <c r="AU18" s="21" t="s">
        <v>654</v>
      </c>
      <c r="AV18" s="21" t="s">
        <v>655</v>
      </c>
      <c r="AW18" s="21">
        <v>0</v>
      </c>
      <c r="AX18" s="21" t="s">
        <v>40</v>
      </c>
      <c r="AY18" s="21">
        <v>98.56</v>
      </c>
      <c r="AZ18" s="21">
        <v>100</v>
      </c>
      <c r="BA18" s="21">
        <v>100</v>
      </c>
      <c r="BB18" s="21">
        <v>100</v>
      </c>
      <c r="BC18" s="21">
        <v>94</v>
      </c>
      <c r="BD18" s="21">
        <v>100</v>
      </c>
    </row>
    <row r="19" spans="1:56">
      <c r="A19" s="8" t="s">
        <v>671</v>
      </c>
      <c r="B19" s="8" t="s">
        <v>672</v>
      </c>
      <c r="C19" s="7"/>
      <c r="D19" s="7"/>
      <c r="E19" s="7" t="s">
        <v>33</v>
      </c>
      <c r="F19" s="7">
        <v>8</v>
      </c>
      <c r="G19" s="7">
        <v>85</v>
      </c>
      <c r="H19" s="7" t="s">
        <v>222</v>
      </c>
      <c r="I19" s="7">
        <v>35</v>
      </c>
      <c r="J19" s="7" t="s">
        <v>231</v>
      </c>
      <c r="K19" s="7">
        <v>100</v>
      </c>
      <c r="L19" s="7" t="s">
        <v>240</v>
      </c>
      <c r="M19" s="7" t="s">
        <v>246</v>
      </c>
      <c r="N19" s="7" t="s">
        <v>252</v>
      </c>
      <c r="O19" s="7">
        <v>100</v>
      </c>
      <c r="P19" s="7" t="s">
        <v>257</v>
      </c>
      <c r="Q19" s="7" t="s">
        <v>257</v>
      </c>
      <c r="R19" s="7">
        <v>22</v>
      </c>
      <c r="S19" s="7">
        <v>40</v>
      </c>
      <c r="T19" s="7">
        <v>62</v>
      </c>
      <c r="U19" s="7">
        <v>100</v>
      </c>
      <c r="V19" s="7">
        <v>90</v>
      </c>
      <c r="W19" s="7">
        <v>1.35</v>
      </c>
      <c r="X19" s="7">
        <v>0</v>
      </c>
      <c r="Y19" s="7">
        <v>16</v>
      </c>
      <c r="Z19" s="7">
        <v>18</v>
      </c>
      <c r="AA19" s="7">
        <v>55</v>
      </c>
      <c r="AB19" s="7">
        <v>27</v>
      </c>
      <c r="AC19" s="7">
        <v>61</v>
      </c>
      <c r="AD19" s="7">
        <v>65</v>
      </c>
      <c r="AE19" s="7">
        <v>125</v>
      </c>
      <c r="AF19" s="7" t="s">
        <v>299</v>
      </c>
      <c r="AG19" s="7">
        <v>3.2</v>
      </c>
      <c r="AH19" s="7">
        <v>5</v>
      </c>
      <c r="AI19" s="7">
        <v>0</v>
      </c>
      <c r="AJ19" s="7">
        <v>0</v>
      </c>
      <c r="AK19" s="7">
        <v>0</v>
      </c>
      <c r="AL19" s="7" t="s">
        <v>609</v>
      </c>
      <c r="AM19" s="7" t="s">
        <v>610</v>
      </c>
      <c r="AN19" s="7" t="s">
        <v>35</v>
      </c>
      <c r="AO19" s="7" t="s">
        <v>35</v>
      </c>
      <c r="AP19" s="7" t="s">
        <v>40</v>
      </c>
      <c r="AQ19" s="7" t="s">
        <v>35</v>
      </c>
      <c r="AR19" s="7" t="s">
        <v>35</v>
      </c>
      <c r="AS19" s="7" t="s">
        <v>35</v>
      </c>
      <c r="AT19" s="21">
        <v>81.76000000000001</v>
      </c>
      <c r="AU19" s="21" t="s">
        <v>634</v>
      </c>
      <c r="AV19" s="21" t="s">
        <v>635</v>
      </c>
      <c r="AW19" s="21">
        <v>15</v>
      </c>
      <c r="AX19" s="21" t="s">
        <v>35</v>
      </c>
      <c r="AY19" s="21">
        <v>96.76000000000001</v>
      </c>
      <c r="AZ19" s="21">
        <v>100</v>
      </c>
      <c r="BA19" s="21">
        <v>91</v>
      </c>
      <c r="BB19" s="21">
        <v>100</v>
      </c>
      <c r="BC19" s="21">
        <v>94</v>
      </c>
      <c r="BD19" s="21">
        <v>100</v>
      </c>
    </row>
    <row r="20" spans="1:56">
      <c r="A20" s="8" t="s">
        <v>673</v>
      </c>
      <c r="B20" s="8" t="s">
        <v>674</v>
      </c>
      <c r="C20" s="7"/>
      <c r="D20" s="7"/>
      <c r="E20" s="7" t="s">
        <v>33</v>
      </c>
      <c r="F20" s="7">
        <v>8</v>
      </c>
      <c r="G20" s="7">
        <v>85</v>
      </c>
      <c r="H20" s="7"/>
      <c r="I20" s="7">
        <v>35</v>
      </c>
      <c r="J20" s="7" t="s">
        <v>231</v>
      </c>
      <c r="K20" s="7">
        <v>100</v>
      </c>
      <c r="L20" s="7" t="s">
        <v>240</v>
      </c>
      <c r="M20" s="7" t="s">
        <v>246</v>
      </c>
      <c r="N20" s="7" t="s">
        <v>252</v>
      </c>
      <c r="O20" s="7">
        <v>100</v>
      </c>
      <c r="P20" s="7" t="s">
        <v>257</v>
      </c>
      <c r="Q20" s="7" t="s">
        <v>257</v>
      </c>
      <c r="R20" s="7">
        <v>22</v>
      </c>
      <c r="S20" s="7">
        <v>100</v>
      </c>
      <c r="T20" s="7">
        <v>62</v>
      </c>
      <c r="U20" s="7">
        <v>100</v>
      </c>
      <c r="V20" s="7">
        <v>90</v>
      </c>
      <c r="W20" s="7">
        <v>1.35</v>
      </c>
      <c r="X20" s="7">
        <v>0</v>
      </c>
      <c r="Y20" s="7">
        <v>16</v>
      </c>
      <c r="Z20" s="7">
        <v>18</v>
      </c>
      <c r="AA20" s="7">
        <v>55</v>
      </c>
      <c r="AB20" s="7">
        <v>27</v>
      </c>
      <c r="AC20" s="7">
        <v>61</v>
      </c>
      <c r="AD20" s="7">
        <v>65</v>
      </c>
      <c r="AE20" s="7">
        <v>125</v>
      </c>
      <c r="AF20" s="7" t="s">
        <v>299</v>
      </c>
      <c r="AG20" s="7">
        <v>3.2</v>
      </c>
      <c r="AH20" s="7">
        <v>5</v>
      </c>
      <c r="AI20" s="7">
        <v>0</v>
      </c>
      <c r="AJ20" s="7">
        <v>0</v>
      </c>
      <c r="AK20" s="7">
        <v>0</v>
      </c>
      <c r="AL20" s="7" t="s">
        <v>609</v>
      </c>
      <c r="AM20" s="7" t="s">
        <v>610</v>
      </c>
      <c r="AN20" s="7" t="s">
        <v>35</v>
      </c>
      <c r="AO20" s="7" t="s">
        <v>35</v>
      </c>
      <c r="AP20" s="7" t="s">
        <v>35</v>
      </c>
      <c r="AQ20" s="7" t="s">
        <v>35</v>
      </c>
      <c r="AR20" s="7" t="s">
        <v>35</v>
      </c>
      <c r="AS20" s="7" t="s">
        <v>35</v>
      </c>
      <c r="AT20" s="21">
        <v>95.19</v>
      </c>
      <c r="AU20" s="21" t="s">
        <v>634</v>
      </c>
      <c r="AV20" s="21" t="s">
        <v>635</v>
      </c>
      <c r="AW20" s="21">
        <v>0</v>
      </c>
      <c r="AX20" s="21" t="s">
        <v>35</v>
      </c>
      <c r="AY20" s="21">
        <v>95.19</v>
      </c>
      <c r="AZ20" s="21">
        <v>86.5</v>
      </c>
      <c r="BA20" s="21">
        <v>100</v>
      </c>
      <c r="BB20" s="21">
        <v>100</v>
      </c>
      <c r="BC20" s="21">
        <v>94</v>
      </c>
      <c r="BD20" s="21">
        <v>100</v>
      </c>
    </row>
    <row r="21" spans="1:56">
      <c r="A21" s="8" t="s">
        <v>675</v>
      </c>
      <c r="B21" s="8" t="s">
        <v>676</v>
      </c>
      <c r="C21" s="7"/>
      <c r="D21" s="7"/>
      <c r="E21" s="7" t="s">
        <v>33</v>
      </c>
      <c r="F21" s="7">
        <v>8</v>
      </c>
      <c r="G21" s="7">
        <v>85</v>
      </c>
      <c r="H21" s="7" t="s">
        <v>222</v>
      </c>
      <c r="I21" s="7">
        <v>35</v>
      </c>
      <c r="J21" s="7" t="s">
        <v>231</v>
      </c>
      <c r="K21" s="7">
        <v>100</v>
      </c>
      <c r="L21" s="7" t="s">
        <v>240</v>
      </c>
      <c r="M21" s="7" t="s">
        <v>246</v>
      </c>
      <c r="N21" s="7" t="s">
        <v>252</v>
      </c>
      <c r="O21" s="7">
        <v>100</v>
      </c>
      <c r="P21" s="7" t="s">
        <v>257</v>
      </c>
      <c r="Q21" s="7" t="s">
        <v>257</v>
      </c>
      <c r="R21" s="7">
        <v>22</v>
      </c>
      <c r="S21" s="7">
        <v>100</v>
      </c>
      <c r="T21" s="7">
        <v>62</v>
      </c>
      <c r="U21" s="7">
        <v>100</v>
      </c>
      <c r="V21" s="7">
        <v>90</v>
      </c>
      <c r="W21" s="7">
        <v>1.35</v>
      </c>
      <c r="X21" s="7">
        <v>0</v>
      </c>
      <c r="Y21" s="7">
        <v>16</v>
      </c>
      <c r="Z21" s="7">
        <v>18</v>
      </c>
      <c r="AA21" s="7">
        <v>55</v>
      </c>
      <c r="AB21" s="7">
        <v>27</v>
      </c>
      <c r="AC21" s="7">
        <v>61</v>
      </c>
      <c r="AD21" s="7">
        <v>65</v>
      </c>
      <c r="AE21" s="7">
        <v>125</v>
      </c>
      <c r="AF21" s="7" t="s">
        <v>299</v>
      </c>
      <c r="AG21" s="7">
        <v>3.2</v>
      </c>
      <c r="AH21" s="7">
        <v>-15</v>
      </c>
      <c r="AI21" s="7">
        <v>0</v>
      </c>
      <c r="AJ21" s="7">
        <v>8</v>
      </c>
      <c r="AK21" s="7">
        <v>0</v>
      </c>
      <c r="AL21" s="7" t="s">
        <v>609</v>
      </c>
      <c r="AM21" s="7" t="s">
        <v>610</v>
      </c>
      <c r="AN21" s="7" t="s">
        <v>35</v>
      </c>
      <c r="AO21" s="7" t="s">
        <v>35</v>
      </c>
      <c r="AP21" s="7" t="s">
        <v>35</v>
      </c>
      <c r="AQ21" s="7" t="s">
        <v>35</v>
      </c>
      <c r="AR21" s="7" t="s">
        <v>40</v>
      </c>
      <c r="AS21" s="7" t="s">
        <v>35</v>
      </c>
      <c r="AT21" s="21">
        <v>67.48</v>
      </c>
      <c r="AU21" s="21" t="s">
        <v>650</v>
      </c>
      <c r="AV21" s="21" t="s">
        <v>651</v>
      </c>
      <c r="AW21" s="21">
        <v>30</v>
      </c>
      <c r="AX21" s="21" t="s">
        <v>35</v>
      </c>
      <c r="AY21" s="21">
        <v>97.48</v>
      </c>
      <c r="AZ21" s="21">
        <v>100</v>
      </c>
      <c r="BA21" s="21">
        <v>100</v>
      </c>
      <c r="BB21" s="21">
        <v>100</v>
      </c>
      <c r="BC21" s="21">
        <v>89.5</v>
      </c>
      <c r="BD21" s="21">
        <v>91</v>
      </c>
    </row>
    <row r="22" spans="1:56">
      <c r="A22" s="8" t="s">
        <v>677</v>
      </c>
      <c r="B22" s="8" t="s">
        <v>678</v>
      </c>
      <c r="C22" s="7"/>
      <c r="D22" s="7"/>
      <c r="E22" s="7" t="s">
        <v>33</v>
      </c>
      <c r="F22" s="7">
        <v>8</v>
      </c>
      <c r="G22" s="7">
        <v>85</v>
      </c>
      <c r="H22" s="7" t="s">
        <v>222</v>
      </c>
      <c r="I22" s="7">
        <v>35</v>
      </c>
      <c r="J22" s="7" t="s">
        <v>231</v>
      </c>
      <c r="K22" s="7">
        <v>100</v>
      </c>
      <c r="L22" s="7" t="s">
        <v>240</v>
      </c>
      <c r="M22" s="7" t="s">
        <v>246</v>
      </c>
      <c r="N22" s="7" t="s">
        <v>252</v>
      </c>
      <c r="O22" s="7">
        <v>100</v>
      </c>
      <c r="P22" s="7" t="s">
        <v>257</v>
      </c>
      <c r="Q22" s="7" t="s">
        <v>257</v>
      </c>
      <c r="R22" s="7">
        <v>22</v>
      </c>
      <c r="S22" s="7">
        <v>100</v>
      </c>
      <c r="T22" s="7">
        <v>62</v>
      </c>
      <c r="U22" s="7">
        <v>100</v>
      </c>
      <c r="V22" s="7">
        <v>90</v>
      </c>
      <c r="W22" s="7">
        <v>1.35</v>
      </c>
      <c r="X22" s="7">
        <v>0</v>
      </c>
      <c r="Y22" s="7">
        <v>16</v>
      </c>
      <c r="Z22" s="7">
        <v>18</v>
      </c>
      <c r="AA22" s="7">
        <v>55</v>
      </c>
      <c r="AB22" s="7">
        <v>27</v>
      </c>
      <c r="AC22" s="7">
        <v>61</v>
      </c>
      <c r="AD22" s="7">
        <v>65</v>
      </c>
      <c r="AE22" s="7">
        <v>125</v>
      </c>
      <c r="AF22" s="7" t="s">
        <v>299</v>
      </c>
      <c r="AG22" s="7">
        <v>3.2</v>
      </c>
      <c r="AH22" s="7">
        <v>5</v>
      </c>
      <c r="AI22" s="7"/>
      <c r="AJ22" s="7">
        <v>0</v>
      </c>
      <c r="AK22" s="7">
        <v>0</v>
      </c>
      <c r="AL22" s="7" t="s">
        <v>609</v>
      </c>
      <c r="AM22" s="7" t="s">
        <v>610</v>
      </c>
      <c r="AN22" s="7" t="s">
        <v>35</v>
      </c>
      <c r="AO22" s="7" t="s">
        <v>35</v>
      </c>
      <c r="AP22" s="7" t="s">
        <v>35</v>
      </c>
      <c r="AQ22" s="7" t="s">
        <v>35</v>
      </c>
      <c r="AR22" s="7" t="s">
        <v>35</v>
      </c>
      <c r="AS22" s="7" t="s">
        <v>35</v>
      </c>
      <c r="AT22" s="21">
        <v>98.56</v>
      </c>
      <c r="AU22" s="21" t="s">
        <v>654</v>
      </c>
      <c r="AV22" s="21" t="s">
        <v>655</v>
      </c>
      <c r="AW22" s="21">
        <v>0</v>
      </c>
      <c r="AX22" s="21" t="s">
        <v>40</v>
      </c>
      <c r="AY22" s="21">
        <v>98.56</v>
      </c>
      <c r="AZ22" s="21">
        <v>100</v>
      </c>
      <c r="BA22" s="21">
        <v>100</v>
      </c>
      <c r="BB22" s="21">
        <v>100</v>
      </c>
      <c r="BC22" s="21">
        <v>94</v>
      </c>
      <c r="BD22" s="21">
        <v>100</v>
      </c>
    </row>
    <row r="23" spans="1:56">
      <c r="A23" s="8" t="s">
        <v>679</v>
      </c>
      <c r="B23" s="8" t="s">
        <v>680</v>
      </c>
      <c r="C23" s="7"/>
      <c r="D23" s="7"/>
      <c r="E23" s="7" t="s">
        <v>33</v>
      </c>
      <c r="F23" s="7">
        <v>8</v>
      </c>
      <c r="G23" s="7">
        <v>85</v>
      </c>
      <c r="H23" s="7" t="s">
        <v>222</v>
      </c>
      <c r="I23" s="7">
        <v>35</v>
      </c>
      <c r="J23" s="7" t="s">
        <v>231</v>
      </c>
      <c r="K23" s="7">
        <v>100</v>
      </c>
      <c r="L23" s="7" t="s">
        <v>240</v>
      </c>
      <c r="M23" s="7" t="s">
        <v>246</v>
      </c>
      <c r="N23" s="7" t="s">
        <v>252</v>
      </c>
      <c r="O23" s="7">
        <v>100</v>
      </c>
      <c r="P23" s="7" t="s">
        <v>257</v>
      </c>
      <c r="Q23" s="7" t="s">
        <v>257</v>
      </c>
      <c r="R23" s="7">
        <v>22</v>
      </c>
      <c r="S23" s="7">
        <v>100</v>
      </c>
      <c r="T23" s="7">
        <v>62</v>
      </c>
      <c r="U23" s="7">
        <v>100</v>
      </c>
      <c r="V23" s="7">
        <v>90</v>
      </c>
      <c r="W23" s="7">
        <v>1.35</v>
      </c>
      <c r="X23" s="7">
        <v>0</v>
      </c>
      <c r="Y23" s="7">
        <v>16</v>
      </c>
      <c r="Z23" s="7">
        <v>18</v>
      </c>
      <c r="AA23" s="7">
        <v>55</v>
      </c>
      <c r="AB23" s="7">
        <v>27</v>
      </c>
      <c r="AC23" s="7">
        <v>61</v>
      </c>
      <c r="AD23" s="7">
        <v>65</v>
      </c>
      <c r="AE23" s="7">
        <v>125</v>
      </c>
      <c r="AF23" s="7" t="s">
        <v>299</v>
      </c>
      <c r="AG23" s="7">
        <v>3.2</v>
      </c>
      <c r="AH23" s="7">
        <v>5</v>
      </c>
      <c r="AI23" s="7">
        <v>0</v>
      </c>
      <c r="AJ23" s="7">
        <v>0</v>
      </c>
      <c r="AK23" s="7">
        <v>0</v>
      </c>
      <c r="AL23" s="7" t="s">
        <v>609</v>
      </c>
      <c r="AM23" s="7" t="s">
        <v>356</v>
      </c>
      <c r="AN23" s="7" t="s">
        <v>35</v>
      </c>
      <c r="AO23" s="7" t="s">
        <v>35</v>
      </c>
      <c r="AP23" s="7" t="s">
        <v>35</v>
      </c>
      <c r="AQ23" s="7" t="s">
        <v>35</v>
      </c>
      <c r="AR23" s="7" t="s">
        <v>35</v>
      </c>
      <c r="AS23" s="7" t="s">
        <v>35</v>
      </c>
      <c r="AT23" s="21">
        <v>98.56</v>
      </c>
      <c r="AU23" s="21" t="s">
        <v>643</v>
      </c>
      <c r="AV23" s="21" t="s">
        <v>647</v>
      </c>
      <c r="AW23" s="21">
        <v>0</v>
      </c>
      <c r="AX23" s="21" t="s">
        <v>35</v>
      </c>
      <c r="AY23" s="21">
        <v>98.56</v>
      </c>
      <c r="AZ23" s="21">
        <v>100</v>
      </c>
      <c r="BA23" s="21">
        <v>100</v>
      </c>
      <c r="BB23" s="21">
        <v>100</v>
      </c>
      <c r="BC23" s="21">
        <v>94</v>
      </c>
      <c r="BD23" s="21">
        <v>100</v>
      </c>
    </row>
    <row r="24" spans="1:56">
      <c r="A24" s="8" t="s">
        <v>681</v>
      </c>
      <c r="B24" s="8" t="s">
        <v>682</v>
      </c>
      <c r="C24" s="7" t="s">
        <v>86</v>
      </c>
      <c r="D24" s="7" t="s">
        <v>92</v>
      </c>
      <c r="E24" s="7" t="s">
        <v>36</v>
      </c>
      <c r="F24" s="7">
        <v>2</v>
      </c>
      <c r="G24" s="7">
        <v>120</v>
      </c>
      <c r="H24" s="7" t="s">
        <v>220</v>
      </c>
      <c r="I24" s="7">
        <v>50</v>
      </c>
      <c r="J24" s="7" t="s">
        <v>229</v>
      </c>
      <c r="K24" s="7">
        <v>90</v>
      </c>
      <c r="L24" s="7" t="s">
        <v>238</v>
      </c>
      <c r="M24" s="7" t="s">
        <v>244</v>
      </c>
      <c r="N24" s="7" t="s">
        <v>250</v>
      </c>
      <c r="O24" s="7">
        <v>90</v>
      </c>
      <c r="P24" s="7" t="s">
        <v>244</v>
      </c>
      <c r="Q24" s="7" t="s">
        <v>250</v>
      </c>
      <c r="R24" s="7">
        <v>30</v>
      </c>
      <c r="S24" s="7">
        <v>70</v>
      </c>
      <c r="T24" s="7">
        <v>35</v>
      </c>
      <c r="U24" s="7">
        <v>90</v>
      </c>
      <c r="V24" s="7">
        <v>180</v>
      </c>
      <c r="W24" s="7">
        <v>0.95</v>
      </c>
      <c r="X24" s="7">
        <v>5</v>
      </c>
      <c r="Y24" s="7">
        <v>24</v>
      </c>
      <c r="Z24" s="7">
        <v>12</v>
      </c>
      <c r="AA24" s="7">
        <v>30</v>
      </c>
      <c r="AB24" s="7">
        <v>12</v>
      </c>
      <c r="AC24" s="7">
        <v>85</v>
      </c>
      <c r="AD24" s="7">
        <v>78</v>
      </c>
      <c r="AE24" s="7">
        <v>100</v>
      </c>
      <c r="AF24" s="7" t="s">
        <v>297</v>
      </c>
      <c r="AG24" s="7">
        <v>2</v>
      </c>
      <c r="AH24" s="7">
        <v>-5</v>
      </c>
      <c r="AI24" s="7">
        <v>0</v>
      </c>
      <c r="AJ24" s="7">
        <v>0</v>
      </c>
      <c r="AK24" s="7">
        <v>0</v>
      </c>
      <c r="AL24" s="7" t="s">
        <v>609</v>
      </c>
      <c r="AM24" s="7" t="s">
        <v>610</v>
      </c>
      <c r="AN24" s="7" t="s">
        <v>35</v>
      </c>
      <c r="AO24" s="7" t="s">
        <v>35</v>
      </c>
      <c r="AP24" s="7" t="s">
        <v>35</v>
      </c>
      <c r="AQ24" s="7" t="s">
        <v>35</v>
      </c>
      <c r="AR24" s="7" t="s">
        <v>35</v>
      </c>
      <c r="AS24" s="7" t="s">
        <v>35</v>
      </c>
      <c r="AT24" s="21">
        <v>0</v>
      </c>
      <c r="AU24" s="21" t="s">
        <v>643</v>
      </c>
      <c r="AV24" s="21" t="s">
        <v>644</v>
      </c>
      <c r="AW24" s="21">
        <v>50</v>
      </c>
      <c r="AX24" s="21" t="s">
        <v>35</v>
      </c>
      <c r="AY24" s="21">
        <v>51.5</v>
      </c>
      <c r="AZ24" s="21">
        <v>60</v>
      </c>
      <c r="BA24" s="21">
        <v>60</v>
      </c>
      <c r="BB24" s="21">
        <v>50</v>
      </c>
      <c r="BC24" s="21">
        <v>37.5</v>
      </c>
      <c r="BD24" s="2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20.7109375" customWidth="1"/>
    <col min="2" max="4" width="22.7109375" customWidth="1"/>
    <col min="5" max="9" width="16.7109375" customWidth="1"/>
  </cols>
  <sheetData>
    <row r="1" spans="1:9">
      <c r="A1" s="1" t="s">
        <v>710</v>
      </c>
    </row>
    <row r="2" spans="1:9">
      <c r="A2" s="2" t="s">
        <v>711</v>
      </c>
    </row>
    <row r="4" spans="1:9">
      <c r="A4" s="10" t="s">
        <v>712</v>
      </c>
      <c r="B4" s="10" t="s">
        <v>713</v>
      </c>
      <c r="C4" s="10" t="s">
        <v>714</v>
      </c>
      <c r="D4" s="10" t="s">
        <v>4</v>
      </c>
      <c r="E4" s="10" t="s">
        <v>600</v>
      </c>
      <c r="F4" s="10" t="s">
        <v>541</v>
      </c>
      <c r="G4" s="10" t="s">
        <v>542</v>
      </c>
      <c r="H4" s="10" t="s">
        <v>601</v>
      </c>
      <c r="I4" s="10" t="s">
        <v>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B9BD5"/>
  </sheetPr>
  <dimension ref="A1:E47"/>
  <sheetViews>
    <sheetView workbookViewId="0"/>
  </sheetViews>
  <sheetFormatPr defaultRowHeight="15"/>
  <cols>
    <col min="1" max="1" width="34.7109375" customWidth="1"/>
    <col min="2" max="9" width="16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10" t="s">
        <v>2</v>
      </c>
      <c r="B3" s="10" t="s">
        <v>3</v>
      </c>
    </row>
    <row r="4" spans="1:3">
      <c r="A4" s="8" t="s">
        <v>4</v>
      </c>
      <c r="B4" s="21" t="s">
        <v>5</v>
      </c>
    </row>
    <row r="5" spans="1:3">
      <c r="A5" s="8" t="s">
        <v>6</v>
      </c>
      <c r="B5" s="21" t="s">
        <v>7</v>
      </c>
    </row>
    <row r="6" spans="1:3">
      <c r="A6" s="8" t="s">
        <v>8</v>
      </c>
      <c r="B6" s="22">
        <v>10</v>
      </c>
    </row>
    <row r="7" spans="1:3">
      <c r="A7" s="8" t="s">
        <v>9</v>
      </c>
      <c r="B7" s="22">
        <v>75</v>
      </c>
    </row>
    <row r="8" spans="1:3">
      <c r="A8" s="8" t="s">
        <v>10</v>
      </c>
      <c r="B8" s="22">
        <v>65</v>
      </c>
    </row>
    <row r="9" spans="1:3">
      <c r="A9" s="8" t="s">
        <v>11</v>
      </c>
      <c r="B9" s="22">
        <v>50</v>
      </c>
    </row>
    <row r="10" spans="1:3">
      <c r="A10" s="8" t="s">
        <v>12</v>
      </c>
      <c r="B10" s="22">
        <v>2.223</v>
      </c>
    </row>
    <row r="11" spans="1:3">
      <c r="A11" s="8" t="s">
        <v>13</v>
      </c>
      <c r="B11" s="22">
        <v>0.08019999999999999</v>
      </c>
    </row>
    <row r="12" spans="1:3">
      <c r="A12" s="8" t="s">
        <v>14</v>
      </c>
      <c r="B12" s="21" t="s">
        <v>15</v>
      </c>
    </row>
    <row r="14" spans="1:3">
      <c r="A14" s="5" t="s">
        <v>16</v>
      </c>
    </row>
    <row r="15" spans="1:3">
      <c r="A15" s="10" t="s">
        <v>17</v>
      </c>
      <c r="B15" s="10" t="s">
        <v>18</v>
      </c>
      <c r="C15" s="10" t="s">
        <v>19</v>
      </c>
    </row>
    <row r="16" spans="1:3">
      <c r="A16" s="21" t="s">
        <v>20</v>
      </c>
      <c r="B16" s="21" t="s">
        <v>21</v>
      </c>
      <c r="C16" s="22">
        <v>0.25</v>
      </c>
    </row>
    <row r="17" spans="1:5">
      <c r="A17" s="21" t="s">
        <v>22</v>
      </c>
      <c r="B17" s="21" t="s">
        <v>23</v>
      </c>
      <c r="C17" s="22">
        <v>0.2</v>
      </c>
    </row>
    <row r="18" spans="1:5">
      <c r="A18" s="21" t="s">
        <v>24</v>
      </c>
      <c r="B18" s="21" t="s">
        <v>25</v>
      </c>
      <c r="C18" s="22">
        <v>0.31</v>
      </c>
    </row>
    <row r="19" spans="1:5">
      <c r="A19" s="21" t="s">
        <v>26</v>
      </c>
      <c r="B19" s="21" t="s">
        <v>27</v>
      </c>
      <c r="C19" s="22">
        <v>0.24</v>
      </c>
    </row>
    <row r="20" spans="1:5">
      <c r="A20" s="21"/>
      <c r="B20" s="21"/>
      <c r="C20" s="21"/>
    </row>
    <row r="21" spans="1:5">
      <c r="A21" s="21"/>
      <c r="B21" s="21"/>
      <c r="C21" s="21"/>
    </row>
    <row r="22" spans="1:5">
      <c r="A22" s="21"/>
      <c r="B22" s="21"/>
      <c r="C22" s="21"/>
    </row>
    <row r="23" spans="1:5">
      <c r="A23" s="21"/>
      <c r="B23" s="21"/>
      <c r="C23" s="21"/>
    </row>
    <row r="25" spans="1:5">
      <c r="A25" s="5" t="s">
        <v>28</v>
      </c>
    </row>
    <row r="26" spans="1:5">
      <c r="A26" s="10" t="s">
        <v>17</v>
      </c>
      <c r="B26" s="10" t="s">
        <v>29</v>
      </c>
      <c r="C26" s="10" t="s">
        <v>30</v>
      </c>
      <c r="D26" s="10" t="s">
        <v>31</v>
      </c>
      <c r="E26" s="10" t="s">
        <v>32</v>
      </c>
    </row>
    <row r="27" spans="1:5">
      <c r="A27" s="21" t="s">
        <v>33</v>
      </c>
      <c r="B27" s="21" t="s">
        <v>34</v>
      </c>
      <c r="C27" s="21" t="s">
        <v>35</v>
      </c>
      <c r="D27" s="21" t="s">
        <v>35</v>
      </c>
      <c r="E27" s="22">
        <v>1</v>
      </c>
    </row>
    <row r="28" spans="1:5">
      <c r="A28" s="21" t="s">
        <v>36</v>
      </c>
      <c r="B28" s="21" t="s">
        <v>37</v>
      </c>
      <c r="C28" s="21" t="s">
        <v>35</v>
      </c>
      <c r="D28" s="21" t="s">
        <v>35</v>
      </c>
      <c r="E28" s="22">
        <v>0.9</v>
      </c>
    </row>
    <row r="29" spans="1:5">
      <c r="A29" s="21" t="s">
        <v>38</v>
      </c>
      <c r="B29" s="21" t="s">
        <v>39</v>
      </c>
      <c r="C29" s="21" t="s">
        <v>40</v>
      </c>
      <c r="D29" s="21" t="s">
        <v>35</v>
      </c>
      <c r="E29" s="22">
        <v>0.7</v>
      </c>
    </row>
    <row r="30" spans="1:5">
      <c r="A30" s="21" t="s">
        <v>41</v>
      </c>
      <c r="B30" s="21" t="s">
        <v>42</v>
      </c>
      <c r="C30" s="21" t="s">
        <v>40</v>
      </c>
      <c r="D30" s="21" t="s">
        <v>35</v>
      </c>
      <c r="E30" s="22">
        <v>0.4</v>
      </c>
    </row>
    <row r="31" spans="1:5">
      <c r="A31" s="21" t="s">
        <v>43</v>
      </c>
      <c r="B31" s="21" t="s">
        <v>44</v>
      </c>
      <c r="C31" s="21" t="s">
        <v>40</v>
      </c>
      <c r="D31" s="21" t="s">
        <v>35</v>
      </c>
      <c r="E31" s="22">
        <v>0.2</v>
      </c>
    </row>
    <row r="32" spans="1:5">
      <c r="A32" s="21" t="s">
        <v>45</v>
      </c>
      <c r="B32" s="21" t="s">
        <v>46</v>
      </c>
      <c r="C32" s="21" t="s">
        <v>40</v>
      </c>
      <c r="D32" s="21" t="s">
        <v>40</v>
      </c>
      <c r="E32" s="22">
        <v>0</v>
      </c>
    </row>
    <row r="33" spans="1:5">
      <c r="A33" s="21"/>
      <c r="B33" s="21"/>
      <c r="C33" s="21"/>
      <c r="D33" s="21"/>
      <c r="E33" s="21"/>
    </row>
    <row r="34" spans="1:5">
      <c r="A34" s="21"/>
      <c r="B34" s="21"/>
      <c r="C34" s="21"/>
      <c r="D34" s="21"/>
      <c r="E34" s="21"/>
    </row>
    <row r="35" spans="1:5">
      <c r="A35" s="21"/>
      <c r="B35" s="21"/>
      <c r="C35" s="21"/>
      <c r="D35" s="21"/>
      <c r="E35" s="21"/>
    </row>
    <row r="36" spans="1:5">
      <c r="A36" s="21"/>
      <c r="B36" s="21"/>
      <c r="C36" s="21"/>
      <c r="D36" s="21"/>
      <c r="E36" s="21"/>
    </row>
    <row r="38" spans="1:5">
      <c r="A38" s="5" t="s">
        <v>47</v>
      </c>
    </row>
    <row r="39" spans="1:5">
      <c r="A39" s="10" t="s">
        <v>48</v>
      </c>
      <c r="B39" s="10" t="s">
        <v>20</v>
      </c>
      <c r="C39" s="10" t="s">
        <v>22</v>
      </c>
      <c r="D39" s="10" t="s">
        <v>24</v>
      </c>
      <c r="E39" s="10" t="s">
        <v>26</v>
      </c>
    </row>
    <row r="40" spans="1:5">
      <c r="A40" s="21" t="s">
        <v>49</v>
      </c>
      <c r="B40" s="22">
        <v>0.25</v>
      </c>
      <c r="C40" s="22">
        <v>0.3</v>
      </c>
      <c r="D40" s="22">
        <v>0.2</v>
      </c>
      <c r="E40" s="22">
        <v>0.25</v>
      </c>
    </row>
    <row r="41" spans="1:5">
      <c r="A41" s="21" t="s">
        <v>50</v>
      </c>
      <c r="B41" s="22">
        <v>0.2</v>
      </c>
      <c r="C41" s="22">
        <v>0.25</v>
      </c>
      <c r="D41" s="22">
        <v>0.25</v>
      </c>
      <c r="E41" s="22">
        <v>0.3</v>
      </c>
    </row>
    <row r="42" spans="1:5">
      <c r="A42" s="21" t="s">
        <v>51</v>
      </c>
      <c r="B42" s="22">
        <v>0.15</v>
      </c>
      <c r="C42" s="22">
        <v>0.1</v>
      </c>
      <c r="D42" s="22">
        <v>0.35</v>
      </c>
      <c r="E42" s="22">
        <v>0.4</v>
      </c>
    </row>
    <row r="44" spans="1:5">
      <c r="A44" s="5" t="s">
        <v>52</v>
      </c>
    </row>
    <row r="45" spans="1:5">
      <c r="A45" s="8" t="s">
        <v>53</v>
      </c>
      <c r="B45" s="22">
        <v>90</v>
      </c>
    </row>
    <row r="46" spans="1:5">
      <c r="A46" s="8" t="s">
        <v>54</v>
      </c>
      <c r="B46" s="22">
        <v>180</v>
      </c>
    </row>
    <row r="47" spans="1:5">
      <c r="A47" s="8" t="s">
        <v>55</v>
      </c>
      <c r="B47" s="22">
        <v>360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B9BD5"/>
  </sheetPr>
  <dimension ref="A1:L6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9.7109375" customWidth="1"/>
    <col min="3" max="3" width="46.7109375" customWidth="1"/>
    <col min="4" max="5" width="8.7109375" customWidth="1"/>
    <col min="6" max="6" width="32.7109375" customWidth="1"/>
    <col min="7" max="8" width="9.7109375" customWidth="1"/>
    <col min="9" max="10" width="12.7109375" customWidth="1"/>
    <col min="11" max="11" width="9.7109375" customWidth="1"/>
    <col min="12" max="12" width="10.7109375" customWidth="1"/>
  </cols>
  <sheetData>
    <row r="1" spans="1:12">
      <c r="A1" s="1" t="s">
        <v>94</v>
      </c>
    </row>
    <row r="2" spans="1:12">
      <c r="A2" s="2" t="s">
        <v>95</v>
      </c>
    </row>
    <row r="4" spans="1:12">
      <c r="A4" s="10" t="s">
        <v>17</v>
      </c>
      <c r="B4" s="10" t="s">
        <v>96</v>
      </c>
      <c r="C4" s="10" t="s">
        <v>29</v>
      </c>
      <c r="D4" s="10" t="s">
        <v>97</v>
      </c>
      <c r="E4" s="10" t="s">
        <v>19</v>
      </c>
      <c r="F4" s="10" t="s">
        <v>98</v>
      </c>
      <c r="G4" s="10" t="s">
        <v>99</v>
      </c>
      <c r="H4" s="10" t="s">
        <v>100</v>
      </c>
      <c r="I4" s="10" t="s">
        <v>101</v>
      </c>
      <c r="J4" s="10" t="s">
        <v>102</v>
      </c>
      <c r="K4" s="10" t="s">
        <v>103</v>
      </c>
      <c r="L4" s="10" t="s">
        <v>104</v>
      </c>
    </row>
    <row r="5" spans="1:12">
      <c r="A5" s="21" t="s">
        <v>105</v>
      </c>
      <c r="B5" s="21" t="s">
        <v>20</v>
      </c>
      <c r="C5" s="21" t="s">
        <v>106</v>
      </c>
      <c r="D5" s="21" t="s">
        <v>107</v>
      </c>
      <c r="E5" s="22">
        <v>0.2</v>
      </c>
      <c r="F5" s="21" t="s">
        <v>108</v>
      </c>
      <c r="G5" s="21" t="s">
        <v>35</v>
      </c>
      <c r="H5" s="22"/>
      <c r="I5" s="21"/>
      <c r="J5" s="21" t="s">
        <v>109</v>
      </c>
      <c r="K5" s="21" t="s">
        <v>35</v>
      </c>
      <c r="L5" s="21" t="s">
        <v>110</v>
      </c>
    </row>
    <row r="6" spans="1:12">
      <c r="A6" s="21" t="s">
        <v>111</v>
      </c>
      <c r="B6" s="21" t="s">
        <v>20</v>
      </c>
      <c r="C6" s="21" t="s">
        <v>112</v>
      </c>
      <c r="D6" s="21" t="s">
        <v>107</v>
      </c>
      <c r="E6" s="22">
        <v>0.25</v>
      </c>
      <c r="F6" s="21" t="s">
        <v>113</v>
      </c>
      <c r="G6" s="21" t="s">
        <v>35</v>
      </c>
      <c r="H6" s="22"/>
      <c r="I6" s="21"/>
      <c r="J6" s="21" t="s">
        <v>109</v>
      </c>
      <c r="K6" s="21" t="s">
        <v>35</v>
      </c>
      <c r="L6" s="21" t="s">
        <v>110</v>
      </c>
    </row>
    <row r="7" spans="1:12">
      <c r="A7" s="21" t="s">
        <v>114</v>
      </c>
      <c r="B7" s="21" t="s">
        <v>20</v>
      </c>
      <c r="C7" s="21" t="s">
        <v>115</v>
      </c>
      <c r="D7" s="21" t="s">
        <v>116</v>
      </c>
      <c r="E7" s="22">
        <v>0.15</v>
      </c>
      <c r="F7" s="21" t="s">
        <v>117</v>
      </c>
      <c r="G7" s="21" t="s">
        <v>35</v>
      </c>
      <c r="H7" s="22"/>
      <c r="I7" s="21"/>
      <c r="J7" s="21" t="s">
        <v>109</v>
      </c>
      <c r="K7" s="21" t="s">
        <v>35</v>
      </c>
      <c r="L7" s="21" t="s">
        <v>118</v>
      </c>
    </row>
    <row r="8" spans="1:12">
      <c r="A8" s="21" t="s">
        <v>119</v>
      </c>
      <c r="B8" s="21" t="s">
        <v>20</v>
      </c>
      <c r="C8" s="21" t="s">
        <v>120</v>
      </c>
      <c r="D8" s="21" t="s">
        <v>107</v>
      </c>
      <c r="E8" s="22">
        <v>0.15</v>
      </c>
      <c r="F8" s="21" t="s">
        <v>121</v>
      </c>
      <c r="G8" s="21" t="s">
        <v>35</v>
      </c>
      <c r="H8" s="22"/>
      <c r="I8" s="21"/>
      <c r="J8" s="21" t="s">
        <v>109</v>
      </c>
      <c r="K8" s="21" t="s">
        <v>35</v>
      </c>
      <c r="L8" s="21" t="s">
        <v>110</v>
      </c>
    </row>
    <row r="9" spans="1:12">
      <c r="A9" s="21" t="s">
        <v>122</v>
      </c>
      <c r="B9" s="21" t="s">
        <v>20</v>
      </c>
      <c r="C9" s="21" t="s">
        <v>123</v>
      </c>
      <c r="D9" s="21" t="s">
        <v>116</v>
      </c>
      <c r="E9" s="22">
        <v>0.1</v>
      </c>
      <c r="F9" s="21" t="s">
        <v>124</v>
      </c>
      <c r="G9" s="21" t="s">
        <v>35</v>
      </c>
      <c r="H9" s="22"/>
      <c r="I9" s="21"/>
      <c r="J9" s="21" t="s">
        <v>109</v>
      </c>
      <c r="K9" s="21" t="s">
        <v>35</v>
      </c>
      <c r="L9" s="21" t="s">
        <v>118</v>
      </c>
    </row>
    <row r="10" spans="1:12">
      <c r="A10" s="21" t="s">
        <v>125</v>
      </c>
      <c r="B10" s="21" t="s">
        <v>20</v>
      </c>
      <c r="C10" s="21" t="s">
        <v>126</v>
      </c>
      <c r="D10" s="21" t="s">
        <v>107</v>
      </c>
      <c r="E10" s="22">
        <v>0.15</v>
      </c>
      <c r="F10" s="21" t="s">
        <v>127</v>
      </c>
      <c r="G10" s="21" t="s">
        <v>40</v>
      </c>
      <c r="H10" s="22">
        <v>1</v>
      </c>
      <c r="I10" s="21" t="s">
        <v>128</v>
      </c>
      <c r="J10" s="21" t="s">
        <v>109</v>
      </c>
      <c r="K10" s="21" t="s">
        <v>35</v>
      </c>
      <c r="L10" s="21" t="s">
        <v>110</v>
      </c>
    </row>
    <row r="11" spans="1:12">
      <c r="A11" s="21" t="s">
        <v>129</v>
      </c>
      <c r="B11" s="21" t="s">
        <v>22</v>
      </c>
      <c r="C11" s="21" t="s">
        <v>130</v>
      </c>
      <c r="D11" s="21" t="s">
        <v>116</v>
      </c>
      <c r="E11" s="22">
        <v>0.1</v>
      </c>
      <c r="F11" s="21" t="s">
        <v>131</v>
      </c>
      <c r="G11" s="21" t="s">
        <v>40</v>
      </c>
      <c r="H11" s="22">
        <v>1</v>
      </c>
      <c r="I11" s="21" t="s">
        <v>132</v>
      </c>
      <c r="J11" s="21" t="s">
        <v>109</v>
      </c>
      <c r="K11" s="21" t="s">
        <v>35</v>
      </c>
      <c r="L11" s="21" t="s">
        <v>118</v>
      </c>
    </row>
    <row r="12" spans="1:12">
      <c r="A12" s="21" t="s">
        <v>133</v>
      </c>
      <c r="B12" s="21" t="s">
        <v>22</v>
      </c>
      <c r="C12" s="21" t="s">
        <v>134</v>
      </c>
      <c r="D12" s="21" t="s">
        <v>116</v>
      </c>
      <c r="E12" s="22">
        <v>0.2</v>
      </c>
      <c r="F12" s="21" t="s">
        <v>135</v>
      </c>
      <c r="G12" s="21" t="s">
        <v>35</v>
      </c>
      <c r="H12" s="22"/>
      <c r="I12" s="21"/>
      <c r="J12" s="21" t="s">
        <v>109</v>
      </c>
      <c r="K12" s="21" t="s">
        <v>35</v>
      </c>
      <c r="L12" s="21" t="s">
        <v>118</v>
      </c>
    </row>
    <row r="13" spans="1:12">
      <c r="A13" s="21" t="s">
        <v>136</v>
      </c>
      <c r="B13" s="21" t="s">
        <v>22</v>
      </c>
      <c r="C13" s="21" t="s">
        <v>137</v>
      </c>
      <c r="D13" s="21" t="s">
        <v>116</v>
      </c>
      <c r="E13" s="22">
        <v>0.15</v>
      </c>
      <c r="F13" s="21" t="s">
        <v>138</v>
      </c>
      <c r="G13" s="21" t="s">
        <v>35</v>
      </c>
      <c r="H13" s="22"/>
      <c r="I13" s="21"/>
      <c r="J13" s="21" t="s">
        <v>109</v>
      </c>
      <c r="K13" s="21" t="s">
        <v>35</v>
      </c>
      <c r="L13" s="21" t="s">
        <v>118</v>
      </c>
    </row>
    <row r="14" spans="1:12">
      <c r="A14" s="21" t="s">
        <v>139</v>
      </c>
      <c r="B14" s="21" t="s">
        <v>22</v>
      </c>
      <c r="C14" s="21" t="s">
        <v>140</v>
      </c>
      <c r="D14" s="21" t="s">
        <v>107</v>
      </c>
      <c r="E14" s="22">
        <v>0.15</v>
      </c>
      <c r="F14" s="21" t="s">
        <v>141</v>
      </c>
      <c r="G14" s="21" t="s">
        <v>35</v>
      </c>
      <c r="H14" s="22"/>
      <c r="I14" s="21"/>
      <c r="J14" s="21" t="s">
        <v>109</v>
      </c>
      <c r="K14" s="21" t="s">
        <v>35</v>
      </c>
      <c r="L14" s="21" t="s">
        <v>110</v>
      </c>
    </row>
    <row r="15" spans="1:12">
      <c r="A15" s="21" t="s">
        <v>142</v>
      </c>
      <c r="B15" s="21" t="s">
        <v>22</v>
      </c>
      <c r="C15" s="21" t="s">
        <v>143</v>
      </c>
      <c r="D15" s="21" t="s">
        <v>116</v>
      </c>
      <c r="E15" s="22">
        <v>0.1</v>
      </c>
      <c r="F15" s="21" t="s">
        <v>144</v>
      </c>
      <c r="G15" s="21" t="s">
        <v>35</v>
      </c>
      <c r="H15" s="22"/>
      <c r="I15" s="21"/>
      <c r="J15" s="21" t="s">
        <v>109</v>
      </c>
      <c r="K15" s="21" t="s">
        <v>35</v>
      </c>
      <c r="L15" s="21" t="s">
        <v>118</v>
      </c>
    </row>
    <row r="16" spans="1:12">
      <c r="A16" s="21" t="s">
        <v>145</v>
      </c>
      <c r="B16" s="21" t="s">
        <v>22</v>
      </c>
      <c r="C16" s="21" t="s">
        <v>146</v>
      </c>
      <c r="D16" s="21" t="s">
        <v>116</v>
      </c>
      <c r="E16" s="22">
        <v>0.1</v>
      </c>
      <c r="F16" s="21" t="s">
        <v>147</v>
      </c>
      <c r="G16" s="21" t="s">
        <v>35</v>
      </c>
      <c r="H16" s="22"/>
      <c r="I16" s="21"/>
      <c r="J16" s="21" t="s">
        <v>109</v>
      </c>
      <c r="K16" s="21" t="s">
        <v>35</v>
      </c>
      <c r="L16" s="21" t="s">
        <v>118</v>
      </c>
    </row>
    <row r="17" spans="1:12">
      <c r="A17" s="21" t="s">
        <v>148</v>
      </c>
      <c r="B17" s="21" t="s">
        <v>22</v>
      </c>
      <c r="C17" s="21" t="s">
        <v>149</v>
      </c>
      <c r="D17" s="21" t="s">
        <v>107</v>
      </c>
      <c r="E17" s="22">
        <v>0.1</v>
      </c>
      <c r="F17" s="21" t="s">
        <v>150</v>
      </c>
      <c r="G17" s="21" t="s">
        <v>35</v>
      </c>
      <c r="H17" s="22"/>
      <c r="I17" s="21"/>
      <c r="J17" s="21" t="s">
        <v>109</v>
      </c>
      <c r="K17" s="21" t="s">
        <v>35</v>
      </c>
      <c r="L17" s="21" t="s">
        <v>110</v>
      </c>
    </row>
    <row r="18" spans="1:12">
      <c r="A18" s="21" t="s">
        <v>151</v>
      </c>
      <c r="B18" s="21" t="s">
        <v>22</v>
      </c>
      <c r="C18" s="21" t="s">
        <v>152</v>
      </c>
      <c r="D18" s="21" t="s">
        <v>107</v>
      </c>
      <c r="E18" s="22">
        <v>0.1</v>
      </c>
      <c r="F18" s="21" t="s">
        <v>153</v>
      </c>
      <c r="G18" s="21" t="s">
        <v>35</v>
      </c>
      <c r="H18" s="22"/>
      <c r="I18" s="21" t="s">
        <v>132</v>
      </c>
      <c r="J18" s="21" t="s">
        <v>109</v>
      </c>
      <c r="K18" s="21" t="s">
        <v>35</v>
      </c>
      <c r="L18" s="21" t="s">
        <v>154</v>
      </c>
    </row>
    <row r="19" spans="1:12">
      <c r="A19" s="21" t="s">
        <v>155</v>
      </c>
      <c r="B19" s="21" t="s">
        <v>24</v>
      </c>
      <c r="C19" s="21" t="s">
        <v>156</v>
      </c>
      <c r="D19" s="21" t="s">
        <v>107</v>
      </c>
      <c r="E19" s="22">
        <v>0.15</v>
      </c>
      <c r="F19" s="21" t="s">
        <v>157</v>
      </c>
      <c r="G19" s="21" t="s">
        <v>35</v>
      </c>
      <c r="H19" s="22"/>
      <c r="I19" s="21"/>
      <c r="J19" s="21" t="s">
        <v>109</v>
      </c>
      <c r="K19" s="21" t="s">
        <v>40</v>
      </c>
      <c r="L19" s="21" t="s">
        <v>110</v>
      </c>
    </row>
    <row r="20" spans="1:12">
      <c r="A20" s="21" t="s">
        <v>158</v>
      </c>
      <c r="B20" s="21" t="s">
        <v>24</v>
      </c>
      <c r="C20" s="21" t="s">
        <v>159</v>
      </c>
      <c r="D20" s="21" t="s">
        <v>107</v>
      </c>
      <c r="E20" s="22">
        <v>0.1</v>
      </c>
      <c r="F20" s="21" t="s">
        <v>160</v>
      </c>
      <c r="G20" s="21" t="s">
        <v>35</v>
      </c>
      <c r="H20" s="22"/>
      <c r="I20" s="21"/>
      <c r="J20" s="21" t="s">
        <v>109</v>
      </c>
      <c r="K20" s="21" t="s">
        <v>35</v>
      </c>
      <c r="L20" s="21" t="s">
        <v>110</v>
      </c>
    </row>
    <row r="21" spans="1:12">
      <c r="A21" s="21" t="s">
        <v>161</v>
      </c>
      <c r="B21" s="21" t="s">
        <v>24</v>
      </c>
      <c r="C21" s="21" t="s">
        <v>162</v>
      </c>
      <c r="D21" s="21" t="s">
        <v>107</v>
      </c>
      <c r="E21" s="22">
        <v>0.1</v>
      </c>
      <c r="F21" s="21" t="s">
        <v>163</v>
      </c>
      <c r="G21" s="21" t="s">
        <v>35</v>
      </c>
      <c r="H21" s="22"/>
      <c r="I21" s="21"/>
      <c r="J21" s="21" t="s">
        <v>109</v>
      </c>
      <c r="K21" s="21" t="s">
        <v>35</v>
      </c>
      <c r="L21" s="21" t="s">
        <v>110</v>
      </c>
    </row>
    <row r="22" spans="1:12">
      <c r="A22" s="21" t="s">
        <v>164</v>
      </c>
      <c r="B22" s="21" t="s">
        <v>24</v>
      </c>
      <c r="C22" s="21" t="s">
        <v>165</v>
      </c>
      <c r="D22" s="21" t="s">
        <v>107</v>
      </c>
      <c r="E22" s="22">
        <v>0.2</v>
      </c>
      <c r="F22" s="21" t="s">
        <v>166</v>
      </c>
      <c r="G22" s="21" t="s">
        <v>35</v>
      </c>
      <c r="H22" s="22"/>
      <c r="I22" s="21"/>
      <c r="J22" s="21" t="s">
        <v>109</v>
      </c>
      <c r="K22" s="21" t="s">
        <v>40</v>
      </c>
      <c r="L22" s="21" t="s">
        <v>110</v>
      </c>
    </row>
    <row r="23" spans="1:12">
      <c r="A23" s="21" t="s">
        <v>167</v>
      </c>
      <c r="B23" s="21" t="s">
        <v>24</v>
      </c>
      <c r="C23" s="21" t="s">
        <v>168</v>
      </c>
      <c r="D23" s="21" t="s">
        <v>107</v>
      </c>
      <c r="E23" s="22">
        <v>0.15</v>
      </c>
      <c r="F23" s="21" t="s">
        <v>169</v>
      </c>
      <c r="G23" s="21" t="s">
        <v>35</v>
      </c>
      <c r="H23" s="22"/>
      <c r="I23" s="21"/>
      <c r="J23" s="21" t="s">
        <v>109</v>
      </c>
      <c r="K23" s="21" t="s">
        <v>40</v>
      </c>
      <c r="L23" s="21" t="s">
        <v>110</v>
      </c>
    </row>
    <row r="24" spans="1:12">
      <c r="A24" s="21" t="s">
        <v>170</v>
      </c>
      <c r="B24" s="21" t="s">
        <v>24</v>
      </c>
      <c r="C24" s="21" t="s">
        <v>171</v>
      </c>
      <c r="D24" s="21" t="s">
        <v>107</v>
      </c>
      <c r="E24" s="22">
        <v>0.1</v>
      </c>
      <c r="F24" s="21" t="s">
        <v>172</v>
      </c>
      <c r="G24" s="21" t="s">
        <v>35</v>
      </c>
      <c r="H24" s="22"/>
      <c r="I24" s="21"/>
      <c r="J24" s="21" t="s">
        <v>109</v>
      </c>
      <c r="K24" s="21" t="s">
        <v>35</v>
      </c>
      <c r="L24" s="21" t="s">
        <v>110</v>
      </c>
    </row>
    <row r="25" spans="1:12">
      <c r="A25" s="21" t="s">
        <v>173</v>
      </c>
      <c r="B25" s="21" t="s">
        <v>24</v>
      </c>
      <c r="C25" s="21" t="s">
        <v>174</v>
      </c>
      <c r="D25" s="21" t="s">
        <v>107</v>
      </c>
      <c r="E25" s="22">
        <v>0.1</v>
      </c>
      <c r="F25" s="21" t="s">
        <v>175</v>
      </c>
      <c r="G25" s="21" t="s">
        <v>35</v>
      </c>
      <c r="H25" s="22"/>
      <c r="I25" s="21"/>
      <c r="J25" s="21" t="s">
        <v>109</v>
      </c>
      <c r="K25" s="21" t="s">
        <v>35</v>
      </c>
      <c r="L25" s="21" t="s">
        <v>110</v>
      </c>
    </row>
    <row r="26" spans="1:12">
      <c r="A26" s="21" t="s">
        <v>176</v>
      </c>
      <c r="B26" s="21" t="s">
        <v>24</v>
      </c>
      <c r="C26" s="21" t="s">
        <v>177</v>
      </c>
      <c r="D26" s="21" t="s">
        <v>107</v>
      </c>
      <c r="E26" s="22">
        <v>0.1</v>
      </c>
      <c r="F26" s="21" t="s">
        <v>178</v>
      </c>
      <c r="G26" s="21" t="s">
        <v>35</v>
      </c>
      <c r="H26" s="22"/>
      <c r="I26" s="21"/>
      <c r="J26" s="21" t="s">
        <v>109</v>
      </c>
      <c r="K26" s="21" t="s">
        <v>35</v>
      </c>
      <c r="L26" s="21" t="s">
        <v>154</v>
      </c>
    </row>
    <row r="27" spans="1:12">
      <c r="A27" s="21" t="s">
        <v>179</v>
      </c>
      <c r="B27" s="21" t="s">
        <v>26</v>
      </c>
      <c r="C27" s="21" t="s">
        <v>180</v>
      </c>
      <c r="D27" s="21" t="s">
        <v>107</v>
      </c>
      <c r="E27" s="22">
        <v>0.2</v>
      </c>
      <c r="F27" s="21" t="s">
        <v>181</v>
      </c>
      <c r="G27" s="21" t="s">
        <v>35</v>
      </c>
      <c r="H27" s="22"/>
      <c r="I27" s="21"/>
      <c r="J27" s="21" t="s">
        <v>109</v>
      </c>
      <c r="K27" s="21" t="s">
        <v>40</v>
      </c>
      <c r="L27" s="21" t="s">
        <v>110</v>
      </c>
    </row>
    <row r="28" spans="1:12">
      <c r="A28" s="21" t="s">
        <v>182</v>
      </c>
      <c r="B28" s="21" t="s">
        <v>26</v>
      </c>
      <c r="C28" s="21" t="s">
        <v>183</v>
      </c>
      <c r="D28" s="21" t="s">
        <v>107</v>
      </c>
      <c r="E28" s="22">
        <v>0.15</v>
      </c>
      <c r="F28" s="21" t="s">
        <v>184</v>
      </c>
      <c r="G28" s="21" t="s">
        <v>35</v>
      </c>
      <c r="H28" s="22"/>
      <c r="I28" s="21"/>
      <c r="J28" s="21" t="s">
        <v>109</v>
      </c>
      <c r="K28" s="21" t="s">
        <v>35</v>
      </c>
      <c r="L28" s="21" t="s">
        <v>110</v>
      </c>
    </row>
    <row r="29" spans="1:12">
      <c r="A29" s="21" t="s">
        <v>185</v>
      </c>
      <c r="B29" s="21" t="s">
        <v>26</v>
      </c>
      <c r="C29" s="21" t="s">
        <v>186</v>
      </c>
      <c r="D29" s="21" t="s">
        <v>107</v>
      </c>
      <c r="E29" s="22">
        <v>0.2</v>
      </c>
      <c r="F29" s="21" t="s">
        <v>187</v>
      </c>
      <c r="G29" s="21" t="s">
        <v>35</v>
      </c>
      <c r="H29" s="22"/>
      <c r="I29" s="21"/>
      <c r="J29" s="21" t="s">
        <v>188</v>
      </c>
      <c r="K29" s="21" t="s">
        <v>35</v>
      </c>
      <c r="L29" s="21" t="s">
        <v>110</v>
      </c>
    </row>
    <row r="30" spans="1:12">
      <c r="A30" s="21" t="s">
        <v>189</v>
      </c>
      <c r="B30" s="21" t="s">
        <v>26</v>
      </c>
      <c r="C30" s="21" t="s">
        <v>190</v>
      </c>
      <c r="D30" s="21" t="s">
        <v>107</v>
      </c>
      <c r="E30" s="22">
        <v>0.15</v>
      </c>
      <c r="F30" s="21" t="s">
        <v>191</v>
      </c>
      <c r="G30" s="21" t="s">
        <v>35</v>
      </c>
      <c r="H30" s="22"/>
      <c r="I30" s="21"/>
      <c r="J30" s="21" t="s">
        <v>188</v>
      </c>
      <c r="K30" s="21" t="s">
        <v>35</v>
      </c>
      <c r="L30" s="21" t="s">
        <v>110</v>
      </c>
    </row>
    <row r="31" spans="1:12">
      <c r="A31" s="21" t="s">
        <v>192</v>
      </c>
      <c r="B31" s="21" t="s">
        <v>26</v>
      </c>
      <c r="C31" s="21" t="s">
        <v>193</v>
      </c>
      <c r="D31" s="21" t="s">
        <v>116</v>
      </c>
      <c r="E31" s="22">
        <v>0.1</v>
      </c>
      <c r="F31" s="21" t="s">
        <v>194</v>
      </c>
      <c r="G31" s="21" t="s">
        <v>35</v>
      </c>
      <c r="H31" s="22"/>
      <c r="I31" s="21"/>
      <c r="J31" s="21" t="s">
        <v>188</v>
      </c>
      <c r="K31" s="21" t="s">
        <v>35</v>
      </c>
      <c r="L31" s="21" t="s">
        <v>118</v>
      </c>
    </row>
    <row r="32" spans="1:12">
      <c r="A32" s="21" t="s">
        <v>195</v>
      </c>
      <c r="B32" s="21" t="s">
        <v>26</v>
      </c>
      <c r="C32" s="21" t="s">
        <v>196</v>
      </c>
      <c r="D32" s="21" t="s">
        <v>107</v>
      </c>
      <c r="E32" s="22">
        <v>0.15</v>
      </c>
      <c r="F32" s="21" t="s">
        <v>197</v>
      </c>
      <c r="G32" s="21" t="s">
        <v>35</v>
      </c>
      <c r="H32" s="22"/>
      <c r="I32" s="21"/>
      <c r="J32" s="21" t="s">
        <v>109</v>
      </c>
      <c r="K32" s="21" t="s">
        <v>35</v>
      </c>
      <c r="L32" s="21" t="s">
        <v>110</v>
      </c>
    </row>
    <row r="33" spans="1:12">
      <c r="A33" s="21" t="s">
        <v>198</v>
      </c>
      <c r="B33" s="21" t="s">
        <v>26</v>
      </c>
      <c r="C33" s="21" t="s">
        <v>199</v>
      </c>
      <c r="D33" s="21" t="s">
        <v>107</v>
      </c>
      <c r="E33" s="22">
        <v>0.05</v>
      </c>
      <c r="F33" s="21" t="s">
        <v>200</v>
      </c>
      <c r="G33" s="21" t="s">
        <v>35</v>
      </c>
      <c r="H33" s="22"/>
      <c r="I33" s="21"/>
      <c r="J33" s="21" t="s">
        <v>188</v>
      </c>
      <c r="K33" s="21" t="s">
        <v>35</v>
      </c>
      <c r="L33" s="21" t="s">
        <v>201</v>
      </c>
    </row>
    <row r="34" spans="1:12">
      <c r="A34" s="21"/>
      <c r="B34" s="21"/>
      <c r="C34" s="21"/>
      <c r="D34" s="21"/>
      <c r="E34" s="22"/>
      <c r="F34" s="21"/>
      <c r="G34" s="21"/>
      <c r="H34" s="22"/>
      <c r="I34" s="21"/>
      <c r="J34" s="21"/>
      <c r="K34" s="21"/>
      <c r="L34" s="21"/>
    </row>
    <row r="35" spans="1:12">
      <c r="A35" s="21"/>
      <c r="B35" s="21"/>
      <c r="C35" s="21"/>
      <c r="D35" s="21"/>
      <c r="E35" s="22"/>
      <c r="F35" s="21"/>
      <c r="G35" s="21"/>
      <c r="H35" s="22"/>
      <c r="I35" s="21"/>
      <c r="J35" s="21"/>
      <c r="K35" s="21"/>
      <c r="L35" s="21"/>
    </row>
    <row r="36" spans="1:12">
      <c r="A36" s="21"/>
      <c r="B36" s="21"/>
      <c r="C36" s="21"/>
      <c r="D36" s="21"/>
      <c r="E36" s="22"/>
      <c r="F36" s="21"/>
      <c r="G36" s="21"/>
      <c r="H36" s="22"/>
      <c r="I36" s="21"/>
      <c r="J36" s="21"/>
      <c r="K36" s="21"/>
      <c r="L36" s="21"/>
    </row>
    <row r="37" spans="1:12">
      <c r="A37" s="21"/>
      <c r="B37" s="21"/>
      <c r="C37" s="21"/>
      <c r="D37" s="21"/>
      <c r="E37" s="22"/>
      <c r="F37" s="21"/>
      <c r="G37" s="21"/>
      <c r="H37" s="22"/>
      <c r="I37" s="21"/>
      <c r="J37" s="21"/>
      <c r="K37" s="21"/>
      <c r="L37" s="21"/>
    </row>
    <row r="38" spans="1:12">
      <c r="A38" s="21"/>
      <c r="B38" s="21"/>
      <c r="C38" s="21"/>
      <c r="D38" s="21"/>
      <c r="E38" s="22"/>
      <c r="F38" s="21"/>
      <c r="G38" s="21"/>
      <c r="H38" s="22"/>
      <c r="I38" s="21"/>
      <c r="J38" s="21"/>
      <c r="K38" s="21"/>
      <c r="L38" s="21"/>
    </row>
    <row r="39" spans="1:12">
      <c r="A39" s="21"/>
      <c r="B39" s="21"/>
      <c r="C39" s="21"/>
      <c r="D39" s="21"/>
      <c r="E39" s="22"/>
      <c r="F39" s="21"/>
      <c r="G39" s="21"/>
      <c r="H39" s="22"/>
      <c r="I39" s="21"/>
      <c r="J39" s="21"/>
      <c r="K39" s="21"/>
      <c r="L39" s="21"/>
    </row>
    <row r="40" spans="1:12">
      <c r="A40" s="21"/>
      <c r="B40" s="21"/>
      <c r="C40" s="21"/>
      <c r="D40" s="21"/>
      <c r="E40" s="22"/>
      <c r="F40" s="21"/>
      <c r="G40" s="21"/>
      <c r="H40" s="22"/>
      <c r="I40" s="21"/>
      <c r="J40" s="21"/>
      <c r="K40" s="21"/>
      <c r="L40" s="21"/>
    </row>
    <row r="41" spans="1:12">
      <c r="A41" s="21"/>
      <c r="B41" s="21"/>
      <c r="C41" s="21"/>
      <c r="D41" s="21"/>
      <c r="E41" s="22"/>
      <c r="F41" s="21"/>
      <c r="G41" s="21"/>
      <c r="H41" s="22"/>
      <c r="I41" s="21"/>
      <c r="J41" s="21"/>
      <c r="K41" s="21"/>
      <c r="L41" s="21"/>
    </row>
    <row r="42" spans="1:12">
      <c r="A42" s="21"/>
      <c r="B42" s="21"/>
      <c r="C42" s="21"/>
      <c r="D42" s="21"/>
      <c r="E42" s="22"/>
      <c r="F42" s="21"/>
      <c r="G42" s="21"/>
      <c r="H42" s="22"/>
      <c r="I42" s="21"/>
      <c r="J42" s="21"/>
      <c r="K42" s="21"/>
      <c r="L42" s="21"/>
    </row>
    <row r="43" spans="1:12">
      <c r="A43" s="21"/>
      <c r="B43" s="21"/>
      <c r="C43" s="21"/>
      <c r="D43" s="21"/>
      <c r="E43" s="22"/>
      <c r="F43" s="21"/>
      <c r="G43" s="21"/>
      <c r="H43" s="22"/>
      <c r="I43" s="21"/>
      <c r="J43" s="21"/>
      <c r="K43" s="21"/>
      <c r="L43" s="21"/>
    </row>
    <row r="44" spans="1:12">
      <c r="A44" s="21"/>
      <c r="B44" s="21"/>
      <c r="C44" s="21"/>
      <c r="D44" s="21"/>
      <c r="E44" s="22"/>
      <c r="F44" s="21"/>
      <c r="G44" s="21"/>
      <c r="H44" s="22"/>
      <c r="I44" s="21"/>
      <c r="J44" s="21"/>
      <c r="K44" s="21"/>
      <c r="L44" s="21"/>
    </row>
    <row r="45" spans="1:12">
      <c r="A45" s="21"/>
      <c r="B45" s="21"/>
      <c r="C45" s="21"/>
      <c r="D45" s="21"/>
      <c r="E45" s="22"/>
      <c r="F45" s="21"/>
      <c r="G45" s="21"/>
      <c r="H45" s="22"/>
      <c r="I45" s="21"/>
      <c r="J45" s="21"/>
      <c r="K45" s="21"/>
      <c r="L45" s="21"/>
    </row>
    <row r="46" spans="1:12">
      <c r="A46" s="21"/>
      <c r="B46" s="21"/>
      <c r="C46" s="21"/>
      <c r="D46" s="21"/>
      <c r="E46" s="22"/>
      <c r="F46" s="21"/>
      <c r="G46" s="21"/>
      <c r="H46" s="22"/>
      <c r="I46" s="21"/>
      <c r="J46" s="21"/>
      <c r="K46" s="21"/>
      <c r="L46" s="21"/>
    </row>
    <row r="47" spans="1:12">
      <c r="A47" s="21"/>
      <c r="B47" s="21"/>
      <c r="C47" s="21"/>
      <c r="D47" s="21"/>
      <c r="E47" s="22"/>
      <c r="F47" s="21"/>
      <c r="G47" s="21"/>
      <c r="H47" s="22"/>
      <c r="I47" s="21"/>
      <c r="J47" s="21"/>
      <c r="K47" s="21"/>
      <c r="L47" s="21"/>
    </row>
    <row r="48" spans="1:12">
      <c r="A48" s="21"/>
      <c r="B48" s="21"/>
      <c r="C48" s="21"/>
      <c r="D48" s="21"/>
      <c r="E48" s="22"/>
      <c r="F48" s="21"/>
      <c r="G48" s="21"/>
      <c r="H48" s="22"/>
      <c r="I48" s="21"/>
      <c r="J48" s="21"/>
      <c r="K48" s="21"/>
      <c r="L48" s="21"/>
    </row>
    <row r="49" spans="1:12">
      <c r="A49" s="21"/>
      <c r="B49" s="21"/>
      <c r="C49" s="21"/>
      <c r="D49" s="21"/>
      <c r="E49" s="22"/>
      <c r="F49" s="21"/>
      <c r="G49" s="21"/>
      <c r="H49" s="22"/>
      <c r="I49" s="21"/>
      <c r="J49" s="21"/>
      <c r="K49" s="21"/>
      <c r="L49" s="21"/>
    </row>
    <row r="50" spans="1:12">
      <c r="A50" s="21"/>
      <c r="B50" s="21"/>
      <c r="C50" s="21"/>
      <c r="D50" s="21"/>
      <c r="E50" s="22"/>
      <c r="F50" s="21"/>
      <c r="G50" s="21"/>
      <c r="H50" s="22"/>
      <c r="I50" s="21"/>
      <c r="J50" s="21"/>
      <c r="K50" s="21"/>
      <c r="L50" s="21"/>
    </row>
    <row r="51" spans="1:12">
      <c r="A51" s="21"/>
      <c r="B51" s="21"/>
      <c r="C51" s="21"/>
      <c r="D51" s="21"/>
      <c r="E51" s="22"/>
      <c r="F51" s="21"/>
      <c r="G51" s="21"/>
      <c r="H51" s="22"/>
      <c r="I51" s="21"/>
      <c r="J51" s="21"/>
      <c r="K51" s="21"/>
      <c r="L51" s="21"/>
    </row>
    <row r="52" spans="1:12">
      <c r="A52" s="21"/>
      <c r="B52" s="21"/>
      <c r="C52" s="21"/>
      <c r="D52" s="21"/>
      <c r="E52" s="22"/>
      <c r="F52" s="21"/>
      <c r="G52" s="21"/>
      <c r="H52" s="22"/>
      <c r="I52" s="21"/>
      <c r="J52" s="21"/>
      <c r="K52" s="21"/>
      <c r="L52" s="21"/>
    </row>
    <row r="53" spans="1:12">
      <c r="A53" s="21"/>
      <c r="B53" s="21"/>
      <c r="C53" s="21"/>
      <c r="D53" s="21"/>
      <c r="E53" s="22"/>
      <c r="F53" s="21"/>
      <c r="G53" s="21"/>
      <c r="H53" s="22"/>
      <c r="I53" s="21"/>
      <c r="J53" s="21"/>
      <c r="K53" s="21"/>
      <c r="L53" s="21"/>
    </row>
    <row r="54" spans="1:12">
      <c r="A54" s="21"/>
      <c r="B54" s="21"/>
      <c r="C54" s="21"/>
      <c r="D54" s="21"/>
      <c r="E54" s="22"/>
      <c r="F54" s="21"/>
      <c r="G54" s="21"/>
      <c r="H54" s="22"/>
      <c r="I54" s="21"/>
      <c r="J54" s="21"/>
      <c r="K54" s="21"/>
      <c r="L54" s="21"/>
    </row>
    <row r="55" spans="1:12">
      <c r="A55" s="21"/>
      <c r="B55" s="21"/>
      <c r="C55" s="21"/>
      <c r="D55" s="21"/>
      <c r="E55" s="22"/>
      <c r="F55" s="21"/>
      <c r="G55" s="21"/>
      <c r="H55" s="22"/>
      <c r="I55" s="21"/>
      <c r="J55" s="21"/>
      <c r="K55" s="21"/>
      <c r="L55" s="21"/>
    </row>
    <row r="56" spans="1:12">
      <c r="A56" s="21"/>
      <c r="B56" s="21"/>
      <c r="C56" s="21"/>
      <c r="D56" s="21"/>
      <c r="E56" s="22"/>
      <c r="F56" s="21"/>
      <c r="G56" s="21"/>
      <c r="H56" s="22"/>
      <c r="I56" s="21"/>
      <c r="J56" s="21"/>
      <c r="K56" s="21"/>
      <c r="L56" s="21"/>
    </row>
    <row r="57" spans="1:12">
      <c r="A57" s="21"/>
      <c r="B57" s="21"/>
      <c r="C57" s="21"/>
      <c r="D57" s="21"/>
      <c r="E57" s="22"/>
      <c r="F57" s="21"/>
      <c r="G57" s="21"/>
      <c r="H57" s="22"/>
      <c r="I57" s="21"/>
      <c r="J57" s="21"/>
      <c r="K57" s="21"/>
      <c r="L57" s="21"/>
    </row>
    <row r="58" spans="1:12">
      <c r="A58" s="21"/>
      <c r="B58" s="21"/>
      <c r="C58" s="21"/>
      <c r="D58" s="21"/>
      <c r="E58" s="22"/>
      <c r="F58" s="21"/>
      <c r="G58" s="21"/>
      <c r="H58" s="22"/>
      <c r="I58" s="21"/>
      <c r="J58" s="21"/>
      <c r="K58" s="21"/>
      <c r="L58" s="21"/>
    </row>
    <row r="59" spans="1:12">
      <c r="A59" s="21"/>
      <c r="B59" s="21"/>
      <c r="C59" s="21"/>
      <c r="D59" s="21"/>
      <c r="E59" s="22"/>
      <c r="F59" s="21"/>
      <c r="G59" s="21"/>
      <c r="H59" s="22"/>
      <c r="I59" s="21"/>
      <c r="J59" s="21"/>
      <c r="K59" s="21"/>
      <c r="L59" s="21"/>
    </row>
    <row r="60" spans="1:12">
      <c r="A60" s="21"/>
      <c r="B60" s="21"/>
      <c r="C60" s="21"/>
      <c r="D60" s="21"/>
      <c r="E60" s="22"/>
      <c r="F60" s="21"/>
      <c r="G60" s="21"/>
      <c r="H60" s="22"/>
      <c r="I60" s="21"/>
      <c r="J60" s="21"/>
      <c r="K60" s="21"/>
      <c r="L60" s="21"/>
    </row>
    <row r="61" spans="1:12">
      <c r="A61" s="21"/>
      <c r="B61" s="21"/>
      <c r="C61" s="21"/>
      <c r="D61" s="21"/>
      <c r="E61" s="22"/>
      <c r="F61" s="21"/>
      <c r="G61" s="21"/>
      <c r="H61" s="22"/>
      <c r="I61" s="21"/>
      <c r="J61" s="21"/>
      <c r="K61" s="21"/>
      <c r="L61" s="21"/>
    </row>
    <row r="62" spans="1:12">
      <c r="A62" s="21"/>
      <c r="B62" s="21"/>
      <c r="C62" s="21"/>
      <c r="D62" s="21"/>
      <c r="E62" s="22"/>
      <c r="F62" s="21"/>
      <c r="G62" s="21"/>
      <c r="H62" s="22"/>
      <c r="I62" s="21"/>
      <c r="J62" s="21"/>
      <c r="K62" s="21"/>
      <c r="L62" s="21"/>
    </row>
    <row r="63" spans="1:12">
      <c r="A63" s="21"/>
      <c r="B63" s="21"/>
      <c r="C63" s="21"/>
      <c r="D63" s="21"/>
      <c r="E63" s="22"/>
      <c r="F63" s="21"/>
      <c r="G63" s="21"/>
      <c r="H63" s="22"/>
      <c r="I63" s="21"/>
      <c r="J63" s="21"/>
      <c r="K63" s="21"/>
      <c r="L63" s="21"/>
    </row>
    <row r="64" spans="1:12">
      <c r="A64" s="21"/>
      <c r="B64" s="21"/>
      <c r="C64" s="21"/>
      <c r="D64" s="21"/>
      <c r="E64" s="22"/>
      <c r="F64" s="21"/>
      <c r="G64" s="21"/>
      <c r="H64" s="22"/>
      <c r="I64" s="21"/>
      <c r="J64" s="21"/>
      <c r="K64" s="21"/>
      <c r="L64" s="21"/>
    </row>
  </sheetData>
  <dataValidations count="4">
    <dataValidation type="list" allowBlank="1" showInputMessage="1" showErrorMessage="1" sqref="D5:D64">
      <formula1>"NUM,QUAL"</formula1>
    </dataValidation>
    <dataValidation type="list" allowBlank="1" showInputMessage="1" showErrorMessage="1" sqref="G5:G64">
      <formula1>"Oui,Non"</formula1>
    </dataValidation>
    <dataValidation type="list" allowBlank="1" showInputMessage="1" showErrorMessage="1" sqref="K5:K64">
      <formula1>"Oui,Non"</formula1>
    </dataValidation>
    <dataValidation type="list" allowBlank="1" showInputMessage="1" showErrorMessage="1" sqref="J5:J64">
      <formula1>"ECONOMIC,GUARANTEE"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B9BD5"/>
  </sheetPr>
  <dimension ref="A1:H9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9.7109375" customWidth="1"/>
    <col min="2" max="2" width="11.7109375" customWidth="1"/>
    <col min="3" max="3" width="16.7109375" customWidth="1"/>
    <col min="4" max="5" width="10.7109375" customWidth="1"/>
    <col min="6" max="6" width="40.7109375" customWidth="1"/>
    <col min="7" max="8" width="8.7109375" customWidth="1"/>
  </cols>
  <sheetData>
    <row r="1" spans="1:8">
      <c r="A1" s="1" t="s">
        <v>202</v>
      </c>
    </row>
    <row r="2" spans="1:8">
      <c r="A2" s="2" t="s">
        <v>203</v>
      </c>
    </row>
    <row r="4" spans="1:8">
      <c r="A4" s="10" t="s">
        <v>204</v>
      </c>
      <c r="B4" s="10" t="s">
        <v>97</v>
      </c>
      <c r="C4" s="10" t="s">
        <v>205</v>
      </c>
      <c r="D4" s="10" t="s">
        <v>206</v>
      </c>
      <c r="E4" s="10" t="s">
        <v>207</v>
      </c>
      <c r="F4" s="10" t="s">
        <v>29</v>
      </c>
      <c r="G4" s="10" t="s">
        <v>208</v>
      </c>
      <c r="H4" s="10" t="s">
        <v>209</v>
      </c>
    </row>
    <row r="5" spans="1:8">
      <c r="A5" s="21" t="s">
        <v>105</v>
      </c>
      <c r="B5" s="21" t="s">
        <v>210</v>
      </c>
      <c r="C5" s="21"/>
      <c r="D5" s="22"/>
      <c r="E5" s="22">
        <v>1</v>
      </c>
      <c r="F5" s="21" t="s">
        <v>211</v>
      </c>
      <c r="G5" s="21">
        <v>0</v>
      </c>
      <c r="H5" s="22">
        <v>1</v>
      </c>
    </row>
    <row r="6" spans="1:8">
      <c r="A6" s="21" t="s">
        <v>105</v>
      </c>
      <c r="B6" s="21" t="s">
        <v>210</v>
      </c>
      <c r="C6" s="21"/>
      <c r="D6" s="22">
        <v>1</v>
      </c>
      <c r="E6" s="22">
        <v>3</v>
      </c>
      <c r="F6" s="21" t="s">
        <v>212</v>
      </c>
      <c r="G6" s="21">
        <v>1</v>
      </c>
      <c r="H6" s="22">
        <v>6</v>
      </c>
    </row>
    <row r="7" spans="1:8">
      <c r="A7" s="21" t="s">
        <v>105</v>
      </c>
      <c r="B7" s="21" t="s">
        <v>210</v>
      </c>
      <c r="C7" s="21"/>
      <c r="D7" s="22">
        <v>3</v>
      </c>
      <c r="E7" s="22"/>
      <c r="F7" s="21" t="s">
        <v>213</v>
      </c>
      <c r="G7" s="21">
        <v>2</v>
      </c>
      <c r="H7" s="22">
        <v>10</v>
      </c>
    </row>
    <row r="8" spans="1:8">
      <c r="A8" s="21" t="s">
        <v>111</v>
      </c>
      <c r="B8" s="21" t="s">
        <v>210</v>
      </c>
      <c r="C8" s="21"/>
      <c r="D8" s="22"/>
      <c r="E8" s="22">
        <v>100</v>
      </c>
      <c r="F8" s="21" t="s">
        <v>214</v>
      </c>
      <c r="G8" s="21">
        <v>0</v>
      </c>
      <c r="H8" s="22">
        <v>10</v>
      </c>
    </row>
    <row r="9" spans="1:8">
      <c r="A9" s="21" t="s">
        <v>111</v>
      </c>
      <c r="B9" s="21" t="s">
        <v>210</v>
      </c>
      <c r="C9" s="21"/>
      <c r="D9" s="22">
        <v>100</v>
      </c>
      <c r="E9" s="22">
        <v>150</v>
      </c>
      <c r="F9" s="21" t="s">
        <v>215</v>
      </c>
      <c r="G9" s="21">
        <v>1</v>
      </c>
      <c r="H9" s="22">
        <v>6</v>
      </c>
    </row>
    <row r="10" spans="1:8">
      <c r="A10" s="21" t="s">
        <v>111</v>
      </c>
      <c r="B10" s="21" t="s">
        <v>210</v>
      </c>
      <c r="C10" s="21"/>
      <c r="D10" s="22">
        <v>150</v>
      </c>
      <c r="E10" s="22"/>
      <c r="F10" s="21" t="s">
        <v>216</v>
      </c>
      <c r="G10" s="21">
        <v>2</v>
      </c>
      <c r="H10" s="22">
        <v>1</v>
      </c>
    </row>
    <row r="11" spans="1:8">
      <c r="A11" s="21" t="s">
        <v>114</v>
      </c>
      <c r="B11" s="21" t="s">
        <v>217</v>
      </c>
      <c r="C11" s="21" t="s">
        <v>218</v>
      </c>
      <c r="D11" s="22"/>
      <c r="E11" s="22"/>
      <c r="F11" s="21" t="s">
        <v>219</v>
      </c>
      <c r="G11" s="21">
        <v>0</v>
      </c>
      <c r="H11" s="22">
        <v>1</v>
      </c>
    </row>
    <row r="12" spans="1:8">
      <c r="A12" s="21" t="s">
        <v>114</v>
      </c>
      <c r="B12" s="21" t="s">
        <v>217</v>
      </c>
      <c r="C12" s="21" t="s">
        <v>220</v>
      </c>
      <c r="D12" s="22"/>
      <c r="E12" s="22"/>
      <c r="F12" s="21" t="s">
        <v>221</v>
      </c>
      <c r="G12" s="21">
        <v>1</v>
      </c>
      <c r="H12" s="22">
        <v>6</v>
      </c>
    </row>
    <row r="13" spans="1:8">
      <c r="A13" s="21" t="s">
        <v>114</v>
      </c>
      <c r="B13" s="21" t="s">
        <v>217</v>
      </c>
      <c r="C13" s="21" t="s">
        <v>222</v>
      </c>
      <c r="D13" s="22"/>
      <c r="E13" s="22"/>
      <c r="F13" s="21" t="s">
        <v>223</v>
      </c>
      <c r="G13" s="21">
        <v>2</v>
      </c>
      <c r="H13" s="22">
        <v>10</v>
      </c>
    </row>
    <row r="14" spans="1:8">
      <c r="A14" s="21" t="s">
        <v>119</v>
      </c>
      <c r="B14" s="21" t="s">
        <v>210</v>
      </c>
      <c r="C14" s="21"/>
      <c r="D14" s="22"/>
      <c r="E14" s="22">
        <v>40</v>
      </c>
      <c r="F14" s="21" t="s">
        <v>224</v>
      </c>
      <c r="G14" s="21">
        <v>0</v>
      </c>
      <c r="H14" s="22">
        <v>10</v>
      </c>
    </row>
    <row r="15" spans="1:8">
      <c r="A15" s="21" t="s">
        <v>119</v>
      </c>
      <c r="B15" s="21" t="s">
        <v>210</v>
      </c>
      <c r="C15" s="21"/>
      <c r="D15" s="22">
        <v>40</v>
      </c>
      <c r="E15" s="22">
        <v>60</v>
      </c>
      <c r="F15" s="21" t="s">
        <v>225</v>
      </c>
      <c r="G15" s="21">
        <v>1</v>
      </c>
      <c r="H15" s="22">
        <v>6</v>
      </c>
    </row>
    <row r="16" spans="1:8">
      <c r="A16" s="21" t="s">
        <v>119</v>
      </c>
      <c r="B16" s="21" t="s">
        <v>210</v>
      </c>
      <c r="C16" s="21"/>
      <c r="D16" s="22">
        <v>60</v>
      </c>
      <c r="E16" s="22"/>
      <c r="F16" s="21" t="s">
        <v>226</v>
      </c>
      <c r="G16" s="21">
        <v>2</v>
      </c>
      <c r="H16" s="22">
        <v>1</v>
      </c>
    </row>
    <row r="17" spans="1:8">
      <c r="A17" s="21" t="s">
        <v>122</v>
      </c>
      <c r="B17" s="21" t="s">
        <v>217</v>
      </c>
      <c r="C17" s="21" t="s">
        <v>227</v>
      </c>
      <c r="D17" s="22"/>
      <c r="E17" s="22"/>
      <c r="F17" s="21" t="s">
        <v>228</v>
      </c>
      <c r="G17" s="21">
        <v>0</v>
      </c>
      <c r="H17" s="22">
        <v>2</v>
      </c>
    </row>
    <row r="18" spans="1:8">
      <c r="A18" s="21" t="s">
        <v>122</v>
      </c>
      <c r="B18" s="21" t="s">
        <v>217</v>
      </c>
      <c r="C18" s="21" t="s">
        <v>229</v>
      </c>
      <c r="D18" s="22"/>
      <c r="E18" s="22"/>
      <c r="F18" s="21" t="s">
        <v>230</v>
      </c>
      <c r="G18" s="21">
        <v>1</v>
      </c>
      <c r="H18" s="22">
        <v>6</v>
      </c>
    </row>
    <row r="19" spans="1:8">
      <c r="A19" s="21" t="s">
        <v>122</v>
      </c>
      <c r="B19" s="21" t="s">
        <v>217</v>
      </c>
      <c r="C19" s="21" t="s">
        <v>231</v>
      </c>
      <c r="D19" s="22"/>
      <c r="E19" s="22"/>
      <c r="F19" s="21" t="s">
        <v>232</v>
      </c>
      <c r="G19" s="21">
        <v>2</v>
      </c>
      <c r="H19" s="22">
        <v>10</v>
      </c>
    </row>
    <row r="20" spans="1:8">
      <c r="A20" s="21" t="s">
        <v>125</v>
      </c>
      <c r="B20" s="21" t="s">
        <v>210</v>
      </c>
      <c r="C20" s="21"/>
      <c r="D20" s="22"/>
      <c r="E20" s="22">
        <v>80</v>
      </c>
      <c r="F20" s="21" t="s">
        <v>233</v>
      </c>
      <c r="G20" s="21">
        <v>0</v>
      </c>
      <c r="H20" s="22">
        <v>1</v>
      </c>
    </row>
    <row r="21" spans="1:8">
      <c r="A21" s="21" t="s">
        <v>125</v>
      </c>
      <c r="B21" s="21" t="s">
        <v>210</v>
      </c>
      <c r="C21" s="21"/>
      <c r="D21" s="22">
        <v>80</v>
      </c>
      <c r="E21" s="22">
        <v>100</v>
      </c>
      <c r="F21" s="21" t="s">
        <v>234</v>
      </c>
      <c r="G21" s="21">
        <v>1</v>
      </c>
      <c r="H21" s="22">
        <v>6</v>
      </c>
    </row>
    <row r="22" spans="1:8">
      <c r="A22" s="21" t="s">
        <v>125</v>
      </c>
      <c r="B22" s="21" t="s">
        <v>210</v>
      </c>
      <c r="C22" s="21"/>
      <c r="D22" s="22">
        <v>100</v>
      </c>
      <c r="E22" s="22"/>
      <c r="F22" s="21" t="s">
        <v>235</v>
      </c>
      <c r="G22" s="21">
        <v>2</v>
      </c>
      <c r="H22" s="22">
        <v>10</v>
      </c>
    </row>
    <row r="23" spans="1:8">
      <c r="A23" s="21" t="s">
        <v>129</v>
      </c>
      <c r="B23" s="21" t="s">
        <v>217</v>
      </c>
      <c r="C23" s="21" t="s">
        <v>236</v>
      </c>
      <c r="D23" s="22"/>
      <c r="E23" s="22"/>
      <c r="F23" s="21" t="s">
        <v>237</v>
      </c>
      <c r="G23" s="21">
        <v>0</v>
      </c>
      <c r="H23" s="22">
        <v>1</v>
      </c>
    </row>
    <row r="24" spans="1:8">
      <c r="A24" s="21" t="s">
        <v>129</v>
      </c>
      <c r="B24" s="21" t="s">
        <v>217</v>
      </c>
      <c r="C24" s="21" t="s">
        <v>238</v>
      </c>
      <c r="D24" s="22"/>
      <c r="E24" s="22"/>
      <c r="F24" s="21" t="s">
        <v>239</v>
      </c>
      <c r="G24" s="21">
        <v>1</v>
      </c>
      <c r="H24" s="22">
        <v>6</v>
      </c>
    </row>
    <row r="25" spans="1:8">
      <c r="A25" s="21" t="s">
        <v>129</v>
      </c>
      <c r="B25" s="21" t="s">
        <v>217</v>
      </c>
      <c r="C25" s="21" t="s">
        <v>240</v>
      </c>
      <c r="D25" s="22"/>
      <c r="E25" s="22"/>
      <c r="F25" s="21" t="s">
        <v>241</v>
      </c>
      <c r="G25" s="21">
        <v>2</v>
      </c>
      <c r="H25" s="22">
        <v>10</v>
      </c>
    </row>
    <row r="26" spans="1:8">
      <c r="A26" s="21" t="s">
        <v>133</v>
      </c>
      <c r="B26" s="21" t="s">
        <v>217</v>
      </c>
      <c r="C26" s="21" t="s">
        <v>242</v>
      </c>
      <c r="D26" s="22"/>
      <c r="E26" s="22"/>
      <c r="F26" s="21" t="s">
        <v>243</v>
      </c>
      <c r="G26" s="21">
        <v>0</v>
      </c>
      <c r="H26" s="22">
        <v>2</v>
      </c>
    </row>
    <row r="27" spans="1:8">
      <c r="A27" s="21" t="s">
        <v>133</v>
      </c>
      <c r="B27" s="21" t="s">
        <v>217</v>
      </c>
      <c r="C27" s="21" t="s">
        <v>244</v>
      </c>
      <c r="D27" s="22"/>
      <c r="E27" s="22"/>
      <c r="F27" s="21" t="s">
        <v>245</v>
      </c>
      <c r="G27" s="21">
        <v>1</v>
      </c>
      <c r="H27" s="22">
        <v>6</v>
      </c>
    </row>
    <row r="28" spans="1:8">
      <c r="A28" s="21" t="s">
        <v>133</v>
      </c>
      <c r="B28" s="21" t="s">
        <v>217</v>
      </c>
      <c r="C28" s="21" t="s">
        <v>246</v>
      </c>
      <c r="D28" s="22"/>
      <c r="E28" s="22"/>
      <c r="F28" s="21" t="s">
        <v>247</v>
      </c>
      <c r="G28" s="21">
        <v>2</v>
      </c>
      <c r="H28" s="22">
        <v>10</v>
      </c>
    </row>
    <row r="29" spans="1:8">
      <c r="A29" s="21" t="s">
        <v>136</v>
      </c>
      <c r="B29" s="21" t="s">
        <v>217</v>
      </c>
      <c r="C29" s="21" t="s">
        <v>248</v>
      </c>
      <c r="D29" s="22"/>
      <c r="E29" s="22"/>
      <c r="F29" s="21" t="s">
        <v>249</v>
      </c>
      <c r="G29" s="21">
        <v>0</v>
      </c>
      <c r="H29" s="22">
        <v>2</v>
      </c>
    </row>
    <row r="30" spans="1:8">
      <c r="A30" s="21" t="s">
        <v>136</v>
      </c>
      <c r="B30" s="21" t="s">
        <v>217</v>
      </c>
      <c r="C30" s="21" t="s">
        <v>250</v>
      </c>
      <c r="D30" s="22"/>
      <c r="E30" s="22"/>
      <c r="F30" s="21" t="s">
        <v>251</v>
      </c>
      <c r="G30" s="21">
        <v>1</v>
      </c>
      <c r="H30" s="22">
        <v>6</v>
      </c>
    </row>
    <row r="31" spans="1:8">
      <c r="A31" s="21" t="s">
        <v>136</v>
      </c>
      <c r="B31" s="21" t="s">
        <v>217</v>
      </c>
      <c r="C31" s="21" t="s">
        <v>252</v>
      </c>
      <c r="D31" s="22"/>
      <c r="E31" s="22"/>
      <c r="F31" s="21" t="s">
        <v>253</v>
      </c>
      <c r="G31" s="21">
        <v>2</v>
      </c>
      <c r="H31" s="22">
        <v>10</v>
      </c>
    </row>
    <row r="32" spans="1:8">
      <c r="A32" s="21" t="s">
        <v>139</v>
      </c>
      <c r="B32" s="21" t="s">
        <v>210</v>
      </c>
      <c r="C32" s="21"/>
      <c r="D32" s="22"/>
      <c r="E32" s="22">
        <v>80</v>
      </c>
      <c r="F32" s="21" t="s">
        <v>233</v>
      </c>
      <c r="G32" s="21">
        <v>0</v>
      </c>
      <c r="H32" s="22">
        <v>1</v>
      </c>
    </row>
    <row r="33" spans="1:8">
      <c r="A33" s="21" t="s">
        <v>139</v>
      </c>
      <c r="B33" s="21" t="s">
        <v>210</v>
      </c>
      <c r="C33" s="21"/>
      <c r="D33" s="22">
        <v>80</v>
      </c>
      <c r="E33" s="22">
        <v>100</v>
      </c>
      <c r="F33" s="21" t="s">
        <v>234</v>
      </c>
      <c r="G33" s="21">
        <v>1</v>
      </c>
      <c r="H33" s="22">
        <v>6</v>
      </c>
    </row>
    <row r="34" spans="1:8">
      <c r="A34" s="21" t="s">
        <v>139</v>
      </c>
      <c r="B34" s="21" t="s">
        <v>210</v>
      </c>
      <c r="C34" s="21"/>
      <c r="D34" s="22">
        <v>100</v>
      </c>
      <c r="E34" s="22"/>
      <c r="F34" s="21" t="s">
        <v>235</v>
      </c>
      <c r="G34" s="21">
        <v>2</v>
      </c>
      <c r="H34" s="22">
        <v>10</v>
      </c>
    </row>
    <row r="35" spans="1:8">
      <c r="A35" s="21" t="s">
        <v>142</v>
      </c>
      <c r="B35" s="21" t="s">
        <v>217</v>
      </c>
      <c r="C35" s="21" t="s">
        <v>254</v>
      </c>
      <c r="D35" s="22"/>
      <c r="E35" s="22"/>
      <c r="F35" s="21" t="s">
        <v>255</v>
      </c>
      <c r="G35" s="21">
        <v>0</v>
      </c>
      <c r="H35" s="22">
        <v>2</v>
      </c>
    </row>
    <row r="36" spans="1:8">
      <c r="A36" s="21" t="s">
        <v>142</v>
      </c>
      <c r="B36" s="21" t="s">
        <v>217</v>
      </c>
      <c r="C36" s="21" t="s">
        <v>244</v>
      </c>
      <c r="D36" s="22"/>
      <c r="E36" s="22"/>
      <c r="F36" s="21" t="s">
        <v>256</v>
      </c>
      <c r="G36" s="21">
        <v>1</v>
      </c>
      <c r="H36" s="22">
        <v>6</v>
      </c>
    </row>
    <row r="37" spans="1:8">
      <c r="A37" s="21" t="s">
        <v>142</v>
      </c>
      <c r="B37" s="21" t="s">
        <v>217</v>
      </c>
      <c r="C37" s="21" t="s">
        <v>257</v>
      </c>
      <c r="D37" s="22"/>
      <c r="E37" s="22"/>
      <c r="F37" s="21" t="s">
        <v>258</v>
      </c>
      <c r="G37" s="21">
        <v>2</v>
      </c>
      <c r="H37" s="22">
        <v>10</v>
      </c>
    </row>
    <row r="38" spans="1:8">
      <c r="A38" s="21" t="s">
        <v>145</v>
      </c>
      <c r="B38" s="21" t="s">
        <v>217</v>
      </c>
      <c r="C38" s="21" t="s">
        <v>248</v>
      </c>
      <c r="D38" s="22"/>
      <c r="E38" s="22"/>
      <c r="F38" s="21" t="s">
        <v>249</v>
      </c>
      <c r="G38" s="21">
        <v>0</v>
      </c>
      <c r="H38" s="22">
        <v>2</v>
      </c>
    </row>
    <row r="39" spans="1:8">
      <c r="A39" s="21" t="s">
        <v>145</v>
      </c>
      <c r="B39" s="21" t="s">
        <v>217</v>
      </c>
      <c r="C39" s="21" t="s">
        <v>250</v>
      </c>
      <c r="D39" s="22"/>
      <c r="E39" s="22"/>
      <c r="F39" s="21" t="s">
        <v>251</v>
      </c>
      <c r="G39" s="21">
        <v>1</v>
      </c>
      <c r="H39" s="22">
        <v>6</v>
      </c>
    </row>
    <row r="40" spans="1:8">
      <c r="A40" s="21" t="s">
        <v>145</v>
      </c>
      <c r="B40" s="21" t="s">
        <v>217</v>
      </c>
      <c r="C40" s="21" t="s">
        <v>257</v>
      </c>
      <c r="D40" s="22"/>
      <c r="E40" s="22"/>
      <c r="F40" s="21" t="s">
        <v>258</v>
      </c>
      <c r="G40" s="21">
        <v>2</v>
      </c>
      <c r="H40" s="22">
        <v>10</v>
      </c>
    </row>
    <row r="41" spans="1:8">
      <c r="A41" s="21" t="s">
        <v>148</v>
      </c>
      <c r="B41" s="21" t="s">
        <v>210</v>
      </c>
      <c r="C41" s="21"/>
      <c r="D41" s="22"/>
      <c r="E41" s="22">
        <v>25</v>
      </c>
      <c r="F41" s="21" t="s">
        <v>259</v>
      </c>
      <c r="G41" s="21">
        <v>0</v>
      </c>
      <c r="H41" s="22">
        <v>10</v>
      </c>
    </row>
    <row r="42" spans="1:8">
      <c r="A42" s="21" t="s">
        <v>148</v>
      </c>
      <c r="B42" s="21" t="s">
        <v>210</v>
      </c>
      <c r="C42" s="21"/>
      <c r="D42" s="22">
        <v>25</v>
      </c>
      <c r="E42" s="22">
        <v>35</v>
      </c>
      <c r="F42" s="21" t="s">
        <v>260</v>
      </c>
      <c r="G42" s="21">
        <v>1</v>
      </c>
      <c r="H42" s="22">
        <v>6</v>
      </c>
    </row>
    <row r="43" spans="1:8">
      <c r="A43" s="21" t="s">
        <v>148</v>
      </c>
      <c r="B43" s="21" t="s">
        <v>210</v>
      </c>
      <c r="C43" s="21"/>
      <c r="D43" s="22">
        <v>35</v>
      </c>
      <c r="E43" s="22"/>
      <c r="F43" s="21" t="s">
        <v>261</v>
      </c>
      <c r="G43" s="21">
        <v>2</v>
      </c>
      <c r="H43" s="22">
        <v>1</v>
      </c>
    </row>
    <row r="44" spans="1:8">
      <c r="A44" s="21" t="s">
        <v>151</v>
      </c>
      <c r="B44" s="21" t="s">
        <v>210</v>
      </c>
      <c r="C44" s="21"/>
      <c r="D44" s="22"/>
      <c r="E44" s="22">
        <v>50</v>
      </c>
      <c r="F44" s="21" t="s">
        <v>262</v>
      </c>
      <c r="G44" s="21">
        <v>0</v>
      </c>
      <c r="H44" s="22">
        <v>1</v>
      </c>
    </row>
    <row r="45" spans="1:8">
      <c r="A45" s="21" t="s">
        <v>151</v>
      </c>
      <c r="B45" s="21" t="s">
        <v>210</v>
      </c>
      <c r="C45" s="21"/>
      <c r="D45" s="22">
        <v>50</v>
      </c>
      <c r="E45" s="22">
        <v>100</v>
      </c>
      <c r="F45" s="21" t="s">
        <v>263</v>
      </c>
      <c r="G45" s="21">
        <v>1</v>
      </c>
      <c r="H45" s="22">
        <v>6</v>
      </c>
    </row>
    <row r="46" spans="1:8">
      <c r="A46" s="21" t="s">
        <v>151</v>
      </c>
      <c r="B46" s="21" t="s">
        <v>210</v>
      </c>
      <c r="C46" s="21"/>
      <c r="D46" s="22">
        <v>100</v>
      </c>
      <c r="E46" s="22"/>
      <c r="F46" s="21" t="s">
        <v>264</v>
      </c>
      <c r="G46" s="21">
        <v>2</v>
      </c>
      <c r="H46" s="22">
        <v>10</v>
      </c>
    </row>
    <row r="47" spans="1:8">
      <c r="A47" s="21" t="s">
        <v>155</v>
      </c>
      <c r="B47" s="21" t="s">
        <v>210</v>
      </c>
      <c r="C47" s="21"/>
      <c r="D47" s="22"/>
      <c r="E47" s="22">
        <v>25</v>
      </c>
      <c r="F47" s="21" t="s">
        <v>265</v>
      </c>
      <c r="G47" s="21">
        <v>0</v>
      </c>
      <c r="H47" s="22">
        <v>1</v>
      </c>
    </row>
    <row r="48" spans="1:8">
      <c r="A48" s="21" t="s">
        <v>155</v>
      </c>
      <c r="B48" s="21" t="s">
        <v>210</v>
      </c>
      <c r="C48" s="21"/>
      <c r="D48" s="22">
        <v>25</v>
      </c>
      <c r="E48" s="22">
        <v>40</v>
      </c>
      <c r="F48" s="21" t="s">
        <v>266</v>
      </c>
      <c r="G48" s="21">
        <v>1</v>
      </c>
      <c r="H48" s="22">
        <v>6</v>
      </c>
    </row>
    <row r="49" spans="1:8">
      <c r="A49" s="21" t="s">
        <v>155</v>
      </c>
      <c r="B49" s="21" t="s">
        <v>210</v>
      </c>
      <c r="C49" s="21"/>
      <c r="D49" s="22">
        <v>40</v>
      </c>
      <c r="E49" s="22"/>
      <c r="F49" s="21" t="s">
        <v>267</v>
      </c>
      <c r="G49" s="21">
        <v>2</v>
      </c>
      <c r="H49" s="22">
        <v>10</v>
      </c>
    </row>
    <row r="50" spans="1:8">
      <c r="A50" s="21" t="s">
        <v>158</v>
      </c>
      <c r="B50" s="21" t="s">
        <v>210</v>
      </c>
      <c r="C50" s="21"/>
      <c r="D50" s="22"/>
      <c r="E50" s="22">
        <v>80</v>
      </c>
      <c r="F50" s="21" t="s">
        <v>233</v>
      </c>
      <c r="G50" s="21">
        <v>0</v>
      </c>
      <c r="H50" s="22">
        <v>1</v>
      </c>
    </row>
    <row r="51" spans="1:8">
      <c r="A51" s="21" t="s">
        <v>158</v>
      </c>
      <c r="B51" s="21" t="s">
        <v>210</v>
      </c>
      <c r="C51" s="21"/>
      <c r="D51" s="22">
        <v>80</v>
      </c>
      <c r="E51" s="22">
        <v>100</v>
      </c>
      <c r="F51" s="21" t="s">
        <v>234</v>
      </c>
      <c r="G51" s="21">
        <v>1</v>
      </c>
      <c r="H51" s="22">
        <v>6</v>
      </c>
    </row>
    <row r="52" spans="1:8">
      <c r="A52" s="21" t="s">
        <v>158</v>
      </c>
      <c r="B52" s="21" t="s">
        <v>210</v>
      </c>
      <c r="C52" s="21"/>
      <c r="D52" s="22">
        <v>100</v>
      </c>
      <c r="E52" s="22"/>
      <c r="F52" s="21" t="s">
        <v>235</v>
      </c>
      <c r="G52" s="21">
        <v>2</v>
      </c>
      <c r="H52" s="22">
        <v>10</v>
      </c>
    </row>
    <row r="53" spans="1:8">
      <c r="A53" s="21" t="s">
        <v>161</v>
      </c>
      <c r="B53" s="21" t="s">
        <v>210</v>
      </c>
      <c r="C53" s="21"/>
      <c r="D53" s="22"/>
      <c r="E53" s="22">
        <v>120</v>
      </c>
      <c r="F53" s="21" t="s">
        <v>268</v>
      </c>
      <c r="G53" s="21">
        <v>0</v>
      </c>
      <c r="H53" s="22">
        <v>10</v>
      </c>
    </row>
    <row r="54" spans="1:8">
      <c r="A54" s="21" t="s">
        <v>161</v>
      </c>
      <c r="B54" s="21" t="s">
        <v>210</v>
      </c>
      <c r="C54" s="21"/>
      <c r="D54" s="22">
        <v>120</v>
      </c>
      <c r="E54" s="22">
        <v>240</v>
      </c>
      <c r="F54" s="21" t="s">
        <v>269</v>
      </c>
      <c r="G54" s="21">
        <v>1</v>
      </c>
      <c r="H54" s="22">
        <v>6</v>
      </c>
    </row>
    <row r="55" spans="1:8">
      <c r="A55" s="21" t="s">
        <v>161</v>
      </c>
      <c r="B55" s="21" t="s">
        <v>210</v>
      </c>
      <c r="C55" s="21"/>
      <c r="D55" s="22">
        <v>240</v>
      </c>
      <c r="E55" s="22"/>
      <c r="F55" s="21" t="s">
        <v>270</v>
      </c>
      <c r="G55" s="21">
        <v>2</v>
      </c>
      <c r="H55" s="22">
        <v>1</v>
      </c>
    </row>
    <row r="56" spans="1:8">
      <c r="A56" s="21" t="s">
        <v>164</v>
      </c>
      <c r="B56" s="21" t="s">
        <v>210</v>
      </c>
      <c r="C56" s="21"/>
      <c r="D56" s="22"/>
      <c r="E56" s="22">
        <v>1</v>
      </c>
      <c r="F56" s="21" t="s">
        <v>211</v>
      </c>
      <c r="G56" s="21">
        <v>0</v>
      </c>
      <c r="H56" s="22">
        <v>1</v>
      </c>
    </row>
    <row r="57" spans="1:8">
      <c r="A57" s="21" t="s">
        <v>164</v>
      </c>
      <c r="B57" s="21" t="s">
        <v>210</v>
      </c>
      <c r="C57" s="21"/>
      <c r="D57" s="22">
        <v>1</v>
      </c>
      <c r="E57" s="22">
        <v>1.2</v>
      </c>
      <c r="F57" s="21" t="s">
        <v>271</v>
      </c>
      <c r="G57" s="21">
        <v>1</v>
      </c>
      <c r="H57" s="22">
        <v>6</v>
      </c>
    </row>
    <row r="58" spans="1:8">
      <c r="A58" s="21" t="s">
        <v>164</v>
      </c>
      <c r="B58" s="21" t="s">
        <v>210</v>
      </c>
      <c r="C58" s="21"/>
      <c r="D58" s="22">
        <v>1.2</v>
      </c>
      <c r="E58" s="22"/>
      <c r="F58" s="21" t="s">
        <v>272</v>
      </c>
      <c r="G58" s="21">
        <v>2</v>
      </c>
      <c r="H58" s="22">
        <v>10</v>
      </c>
    </row>
    <row r="59" spans="1:8">
      <c r="A59" s="21" t="s">
        <v>167</v>
      </c>
      <c r="B59" s="21" t="s">
        <v>210</v>
      </c>
      <c r="C59" s="21"/>
      <c r="D59" s="22"/>
      <c r="E59" s="22">
        <v>0.0001</v>
      </c>
      <c r="F59" s="21" t="s">
        <v>273</v>
      </c>
      <c r="G59" s="21">
        <v>0</v>
      </c>
      <c r="H59" s="22">
        <v>10</v>
      </c>
    </row>
    <row r="60" spans="1:8">
      <c r="A60" s="21" t="s">
        <v>167</v>
      </c>
      <c r="B60" s="21" t="s">
        <v>210</v>
      </c>
      <c r="C60" s="21"/>
      <c r="D60" s="22">
        <v>0.0001</v>
      </c>
      <c r="E60" s="22">
        <v>10</v>
      </c>
      <c r="F60" s="21" t="s">
        <v>274</v>
      </c>
      <c r="G60" s="21">
        <v>1</v>
      </c>
      <c r="H60" s="22">
        <v>6</v>
      </c>
    </row>
    <row r="61" spans="1:8">
      <c r="A61" s="21" t="s">
        <v>167</v>
      </c>
      <c r="B61" s="21" t="s">
        <v>210</v>
      </c>
      <c r="C61" s="21"/>
      <c r="D61" s="22">
        <v>10</v>
      </c>
      <c r="E61" s="22"/>
      <c r="F61" s="21" t="s">
        <v>275</v>
      </c>
      <c r="G61" s="21">
        <v>2</v>
      </c>
      <c r="H61" s="22">
        <v>1</v>
      </c>
    </row>
    <row r="62" spans="1:8">
      <c r="A62" s="21" t="s">
        <v>170</v>
      </c>
      <c r="B62" s="21" t="s">
        <v>210</v>
      </c>
      <c r="C62" s="21"/>
      <c r="D62" s="22"/>
      <c r="E62" s="22">
        <v>18</v>
      </c>
      <c r="F62" s="21" t="s">
        <v>276</v>
      </c>
      <c r="G62" s="21">
        <v>0</v>
      </c>
      <c r="H62" s="22">
        <v>10</v>
      </c>
    </row>
    <row r="63" spans="1:8">
      <c r="A63" s="21" t="s">
        <v>170</v>
      </c>
      <c r="B63" s="21" t="s">
        <v>210</v>
      </c>
      <c r="C63" s="21"/>
      <c r="D63" s="22">
        <v>18</v>
      </c>
      <c r="E63" s="22">
        <v>30</v>
      </c>
      <c r="F63" s="21" t="s">
        <v>277</v>
      </c>
      <c r="G63" s="21">
        <v>1</v>
      </c>
      <c r="H63" s="22">
        <v>6</v>
      </c>
    </row>
    <row r="64" spans="1:8">
      <c r="A64" s="21" t="s">
        <v>170</v>
      </c>
      <c r="B64" s="21" t="s">
        <v>210</v>
      </c>
      <c r="C64" s="21"/>
      <c r="D64" s="22">
        <v>30</v>
      </c>
      <c r="E64" s="22"/>
      <c r="F64" s="21" t="s">
        <v>278</v>
      </c>
      <c r="G64" s="21">
        <v>2</v>
      </c>
      <c r="H64" s="22">
        <v>1</v>
      </c>
    </row>
    <row r="65" spans="1:8">
      <c r="A65" s="21" t="s">
        <v>173</v>
      </c>
      <c r="B65" s="21" t="s">
        <v>210</v>
      </c>
      <c r="C65" s="21"/>
      <c r="D65" s="22"/>
      <c r="E65" s="22">
        <v>10</v>
      </c>
      <c r="F65" s="21" t="s">
        <v>279</v>
      </c>
      <c r="G65" s="21">
        <v>0</v>
      </c>
      <c r="H65" s="22">
        <v>1</v>
      </c>
    </row>
    <row r="66" spans="1:8">
      <c r="A66" s="21" t="s">
        <v>173</v>
      </c>
      <c r="B66" s="21" t="s">
        <v>210</v>
      </c>
      <c r="C66" s="21"/>
      <c r="D66" s="22">
        <v>10</v>
      </c>
      <c r="E66" s="22">
        <v>15</v>
      </c>
      <c r="F66" s="21" t="s">
        <v>280</v>
      </c>
      <c r="G66" s="21">
        <v>1</v>
      </c>
      <c r="H66" s="22">
        <v>6</v>
      </c>
    </row>
    <row r="67" spans="1:8">
      <c r="A67" s="21" t="s">
        <v>173</v>
      </c>
      <c r="B67" s="21" t="s">
        <v>210</v>
      </c>
      <c r="C67" s="21"/>
      <c r="D67" s="22">
        <v>15</v>
      </c>
      <c r="E67" s="22"/>
      <c r="F67" s="21" t="s">
        <v>281</v>
      </c>
      <c r="G67" s="21">
        <v>2</v>
      </c>
      <c r="H67" s="22">
        <v>10</v>
      </c>
    </row>
    <row r="68" spans="1:8">
      <c r="A68" s="21" t="s">
        <v>176</v>
      </c>
      <c r="B68" s="21" t="s">
        <v>210</v>
      </c>
      <c r="C68" s="21"/>
      <c r="D68" s="22"/>
      <c r="E68" s="22">
        <v>25</v>
      </c>
      <c r="F68" s="21" t="s">
        <v>282</v>
      </c>
      <c r="G68" s="21">
        <v>0</v>
      </c>
      <c r="H68" s="22">
        <v>1</v>
      </c>
    </row>
    <row r="69" spans="1:8">
      <c r="A69" s="21" t="s">
        <v>176</v>
      </c>
      <c r="B69" s="21" t="s">
        <v>210</v>
      </c>
      <c r="C69" s="21"/>
      <c r="D69" s="22">
        <v>25</v>
      </c>
      <c r="E69" s="22">
        <v>40</v>
      </c>
      <c r="F69" s="21" t="s">
        <v>283</v>
      </c>
      <c r="G69" s="21">
        <v>1</v>
      </c>
      <c r="H69" s="22">
        <v>6</v>
      </c>
    </row>
    <row r="70" spans="1:8">
      <c r="A70" s="21" t="s">
        <v>176</v>
      </c>
      <c r="B70" s="21" t="s">
        <v>210</v>
      </c>
      <c r="C70" s="21"/>
      <c r="D70" s="22">
        <v>40</v>
      </c>
      <c r="E70" s="22"/>
      <c r="F70" s="21" t="s">
        <v>284</v>
      </c>
      <c r="G70" s="21">
        <v>2</v>
      </c>
      <c r="H70" s="22">
        <v>10</v>
      </c>
    </row>
    <row r="71" spans="1:8">
      <c r="A71" s="21" t="s">
        <v>179</v>
      </c>
      <c r="B71" s="21" t="s">
        <v>210</v>
      </c>
      <c r="C71" s="21"/>
      <c r="D71" s="22"/>
      <c r="E71" s="22">
        <v>15</v>
      </c>
      <c r="F71" s="21" t="s">
        <v>285</v>
      </c>
      <c r="G71" s="21">
        <v>0</v>
      </c>
      <c r="H71" s="22">
        <v>1</v>
      </c>
    </row>
    <row r="72" spans="1:8">
      <c r="A72" s="21" t="s">
        <v>179</v>
      </c>
      <c r="B72" s="21" t="s">
        <v>210</v>
      </c>
      <c r="C72" s="21"/>
      <c r="D72" s="22">
        <v>15</v>
      </c>
      <c r="E72" s="22">
        <v>25</v>
      </c>
      <c r="F72" s="21" t="s">
        <v>286</v>
      </c>
      <c r="G72" s="21">
        <v>1</v>
      </c>
      <c r="H72" s="22">
        <v>6</v>
      </c>
    </row>
    <row r="73" spans="1:8">
      <c r="A73" s="21" t="s">
        <v>179</v>
      </c>
      <c r="B73" s="21" t="s">
        <v>210</v>
      </c>
      <c r="C73" s="21"/>
      <c r="D73" s="22">
        <v>25</v>
      </c>
      <c r="E73" s="22"/>
      <c r="F73" s="21" t="s">
        <v>287</v>
      </c>
      <c r="G73" s="21">
        <v>2</v>
      </c>
      <c r="H73" s="22">
        <v>10</v>
      </c>
    </row>
    <row r="74" spans="1:8">
      <c r="A74" s="21" t="s">
        <v>182</v>
      </c>
      <c r="B74" s="21" t="s">
        <v>210</v>
      </c>
      <c r="C74" s="21"/>
      <c r="D74" s="22"/>
      <c r="E74" s="22">
        <v>60</v>
      </c>
      <c r="F74" s="21" t="s">
        <v>288</v>
      </c>
      <c r="G74" s="21">
        <v>0</v>
      </c>
      <c r="H74" s="22">
        <v>10</v>
      </c>
    </row>
    <row r="75" spans="1:8">
      <c r="A75" s="21" t="s">
        <v>182</v>
      </c>
      <c r="B75" s="21" t="s">
        <v>210</v>
      </c>
      <c r="C75" s="21"/>
      <c r="D75" s="22">
        <v>60</v>
      </c>
      <c r="E75" s="22">
        <v>80</v>
      </c>
      <c r="F75" s="21" t="s">
        <v>289</v>
      </c>
      <c r="G75" s="21">
        <v>1</v>
      </c>
      <c r="H75" s="22">
        <v>6</v>
      </c>
    </row>
    <row r="76" spans="1:8">
      <c r="A76" s="21" t="s">
        <v>182</v>
      </c>
      <c r="B76" s="21" t="s">
        <v>210</v>
      </c>
      <c r="C76" s="21"/>
      <c r="D76" s="22">
        <v>80</v>
      </c>
      <c r="E76" s="22"/>
      <c r="F76" s="21" t="s">
        <v>290</v>
      </c>
      <c r="G76" s="21">
        <v>2</v>
      </c>
      <c r="H76" s="22">
        <v>1</v>
      </c>
    </row>
    <row r="77" spans="1:8">
      <c r="A77" s="21" t="s">
        <v>185</v>
      </c>
      <c r="B77" s="21" t="s">
        <v>210</v>
      </c>
      <c r="C77" s="21"/>
      <c r="D77" s="22"/>
      <c r="E77" s="22">
        <v>70</v>
      </c>
      <c r="F77" s="21" t="s">
        <v>291</v>
      </c>
      <c r="G77" s="21">
        <v>0</v>
      </c>
      <c r="H77" s="22">
        <v>10</v>
      </c>
    </row>
    <row r="78" spans="1:8">
      <c r="A78" s="21" t="s">
        <v>185</v>
      </c>
      <c r="B78" s="21" t="s">
        <v>210</v>
      </c>
      <c r="C78" s="21"/>
      <c r="D78" s="22">
        <v>70</v>
      </c>
      <c r="E78" s="22">
        <v>85</v>
      </c>
      <c r="F78" s="21" t="s">
        <v>292</v>
      </c>
      <c r="G78" s="21">
        <v>1</v>
      </c>
      <c r="H78" s="22">
        <v>6</v>
      </c>
    </row>
    <row r="79" spans="1:8">
      <c r="A79" s="21" t="s">
        <v>185</v>
      </c>
      <c r="B79" s="21" t="s">
        <v>210</v>
      </c>
      <c r="C79" s="21"/>
      <c r="D79" s="22">
        <v>85</v>
      </c>
      <c r="E79" s="22"/>
      <c r="F79" s="21" t="s">
        <v>293</v>
      </c>
      <c r="G79" s="21">
        <v>2</v>
      </c>
      <c r="H79" s="22">
        <v>1</v>
      </c>
    </row>
    <row r="80" spans="1:8">
      <c r="A80" s="21" t="s">
        <v>189</v>
      </c>
      <c r="B80" s="21" t="s">
        <v>210</v>
      </c>
      <c r="C80" s="21"/>
      <c r="D80" s="22"/>
      <c r="E80" s="22">
        <v>90</v>
      </c>
      <c r="F80" s="21" t="s">
        <v>294</v>
      </c>
      <c r="G80" s="21">
        <v>0</v>
      </c>
      <c r="H80" s="22">
        <v>1</v>
      </c>
    </row>
    <row r="81" spans="1:8">
      <c r="A81" s="21" t="s">
        <v>189</v>
      </c>
      <c r="B81" s="21" t="s">
        <v>210</v>
      </c>
      <c r="C81" s="21"/>
      <c r="D81" s="22">
        <v>90</v>
      </c>
      <c r="E81" s="22">
        <v>120</v>
      </c>
      <c r="F81" s="21" t="s">
        <v>295</v>
      </c>
      <c r="G81" s="21">
        <v>1</v>
      </c>
      <c r="H81" s="22">
        <v>6</v>
      </c>
    </row>
    <row r="82" spans="1:8">
      <c r="A82" s="21" t="s">
        <v>189</v>
      </c>
      <c r="B82" s="21" t="s">
        <v>210</v>
      </c>
      <c r="C82" s="21"/>
      <c r="D82" s="22">
        <v>120</v>
      </c>
      <c r="E82" s="22"/>
      <c r="F82" s="21" t="s">
        <v>296</v>
      </c>
      <c r="G82" s="21">
        <v>2</v>
      </c>
      <c r="H82" s="22">
        <v>10</v>
      </c>
    </row>
    <row r="83" spans="1:8">
      <c r="A83" s="21" t="s">
        <v>192</v>
      </c>
      <c r="B83" s="21" t="s">
        <v>217</v>
      </c>
      <c r="C83" s="21" t="s">
        <v>297</v>
      </c>
      <c r="D83" s="22"/>
      <c r="E83" s="22"/>
      <c r="F83" s="21" t="s">
        <v>298</v>
      </c>
      <c r="G83" s="21">
        <v>0</v>
      </c>
      <c r="H83" s="22">
        <v>1</v>
      </c>
    </row>
    <row r="84" spans="1:8">
      <c r="A84" s="21" t="s">
        <v>192</v>
      </c>
      <c r="B84" s="21" t="s">
        <v>217</v>
      </c>
      <c r="C84" s="21" t="s">
        <v>299</v>
      </c>
      <c r="D84" s="22"/>
      <c r="E84" s="22"/>
      <c r="F84" s="21" t="s">
        <v>300</v>
      </c>
      <c r="G84" s="21">
        <v>1</v>
      </c>
      <c r="H84" s="22">
        <v>10</v>
      </c>
    </row>
    <row r="85" spans="1:8">
      <c r="A85" s="21" t="s">
        <v>195</v>
      </c>
      <c r="B85" s="21" t="s">
        <v>210</v>
      </c>
      <c r="C85" s="21"/>
      <c r="D85" s="22"/>
      <c r="E85" s="22">
        <v>1.5</v>
      </c>
      <c r="F85" s="21" t="s">
        <v>301</v>
      </c>
      <c r="G85" s="21">
        <v>0</v>
      </c>
      <c r="H85" s="22">
        <v>1</v>
      </c>
    </row>
    <row r="86" spans="1:8">
      <c r="A86" s="21" t="s">
        <v>195</v>
      </c>
      <c r="B86" s="21" t="s">
        <v>210</v>
      </c>
      <c r="C86" s="21"/>
      <c r="D86" s="22">
        <v>1.5</v>
      </c>
      <c r="E86" s="22">
        <v>3</v>
      </c>
      <c r="F86" s="21" t="s">
        <v>302</v>
      </c>
      <c r="G86" s="21">
        <v>1</v>
      </c>
      <c r="H86" s="22">
        <v>6</v>
      </c>
    </row>
    <row r="87" spans="1:8">
      <c r="A87" s="21" t="s">
        <v>195</v>
      </c>
      <c r="B87" s="21" t="s">
        <v>210</v>
      </c>
      <c r="C87" s="21"/>
      <c r="D87" s="22">
        <v>3</v>
      </c>
      <c r="E87" s="22"/>
      <c r="F87" s="21" t="s">
        <v>213</v>
      </c>
      <c r="G87" s="21">
        <v>2</v>
      </c>
      <c r="H87" s="22">
        <v>10</v>
      </c>
    </row>
    <row r="88" spans="1:8">
      <c r="A88" s="21" t="s">
        <v>198</v>
      </c>
      <c r="B88" s="21" t="s">
        <v>210</v>
      </c>
      <c r="C88" s="21"/>
      <c r="D88" s="22"/>
      <c r="E88" s="22">
        <v>-10</v>
      </c>
      <c r="F88" s="21" t="s">
        <v>303</v>
      </c>
      <c r="G88" s="21">
        <v>0</v>
      </c>
      <c r="H88" s="22">
        <v>1</v>
      </c>
    </row>
    <row r="89" spans="1:8">
      <c r="A89" s="21" t="s">
        <v>198</v>
      </c>
      <c r="B89" s="21" t="s">
        <v>210</v>
      </c>
      <c r="C89" s="21"/>
      <c r="D89" s="22">
        <v>-10</v>
      </c>
      <c r="E89" s="22">
        <v>0</v>
      </c>
      <c r="F89" s="21" t="s">
        <v>304</v>
      </c>
      <c r="G89" s="21">
        <v>1</v>
      </c>
      <c r="H89" s="22">
        <v>6</v>
      </c>
    </row>
    <row r="90" spans="1:8">
      <c r="A90" s="21" t="s">
        <v>198</v>
      </c>
      <c r="B90" s="21" t="s">
        <v>210</v>
      </c>
      <c r="C90" s="21"/>
      <c r="D90" s="22">
        <v>0</v>
      </c>
      <c r="E90" s="22"/>
      <c r="F90" s="21" t="s">
        <v>305</v>
      </c>
      <c r="G90" s="21">
        <v>2</v>
      </c>
      <c r="H90" s="22">
        <v>10</v>
      </c>
    </row>
  </sheetData>
  <dataValidations count="1">
    <dataValidation type="list" allowBlank="1" showInputMessage="1" showErrorMessage="1" sqref="B5:B400">
      <formula1>"PLAGE,MODALITE"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B9BD5"/>
  </sheetPr>
  <dimension ref="A1:K34"/>
  <sheetViews>
    <sheetView workbookViewId="0"/>
  </sheetViews>
  <sheetFormatPr defaultRowHeight="15"/>
  <cols>
    <col min="1" max="1" width="30.7109375" customWidth="1"/>
    <col min="2" max="2" width="48.7109375" customWidth="1"/>
    <col min="3" max="3" width="11.7109375" customWidth="1"/>
    <col min="4" max="4" width="8.7109375" customWidth="1"/>
    <col min="5" max="5" width="10.7109375" customWidth="1"/>
    <col min="6" max="6" width="30.7109375" customWidth="1"/>
    <col min="7" max="7" width="10.7109375" customWidth="1"/>
    <col min="8" max="8" width="12.7109375" customWidth="1"/>
    <col min="9" max="9" width="9.7109375" customWidth="1"/>
    <col min="10" max="10" width="14.7109375" customWidth="1"/>
    <col min="11" max="11" width="50.7109375" customWidth="1"/>
  </cols>
  <sheetData>
    <row r="1" spans="1:11">
      <c r="A1" s="1" t="s">
        <v>306</v>
      </c>
    </row>
    <row r="2" spans="1:11">
      <c r="A2" s="2" t="s">
        <v>307</v>
      </c>
    </row>
    <row r="4" spans="1:11">
      <c r="A4" s="10" t="s">
        <v>17</v>
      </c>
      <c r="B4" s="10" t="s">
        <v>29</v>
      </c>
      <c r="C4" s="10" t="s">
        <v>308</v>
      </c>
      <c r="D4" s="10" t="s">
        <v>309</v>
      </c>
      <c r="E4" s="10" t="s">
        <v>310</v>
      </c>
      <c r="F4" s="10" t="s">
        <v>98</v>
      </c>
      <c r="G4" s="10" t="s">
        <v>311</v>
      </c>
      <c r="H4" s="10" t="s">
        <v>312</v>
      </c>
      <c r="I4" s="10" t="s">
        <v>313</v>
      </c>
      <c r="J4" s="10" t="s">
        <v>314</v>
      </c>
      <c r="K4" s="10" t="s">
        <v>315</v>
      </c>
    </row>
    <row r="5" spans="1:11">
      <c r="A5" s="21" t="s">
        <v>316</v>
      </c>
      <c r="B5" s="21" t="s">
        <v>317</v>
      </c>
      <c r="C5" s="21" t="s">
        <v>318</v>
      </c>
      <c r="D5" s="22">
        <v>10</v>
      </c>
      <c r="E5" s="21" t="s">
        <v>319</v>
      </c>
      <c r="F5" s="21" t="s">
        <v>320</v>
      </c>
      <c r="G5" s="21" t="s">
        <v>321</v>
      </c>
      <c r="H5" s="22"/>
      <c r="I5" s="21" t="s">
        <v>35</v>
      </c>
      <c r="J5" s="21" t="s">
        <v>322</v>
      </c>
      <c r="K5" s="21" t="s">
        <v>323</v>
      </c>
    </row>
    <row r="6" spans="1:11">
      <c r="A6" s="21" t="s">
        <v>324</v>
      </c>
      <c r="B6" s="21" t="s">
        <v>325</v>
      </c>
      <c r="C6" s="21" t="s">
        <v>326</v>
      </c>
      <c r="D6" s="22">
        <v>15</v>
      </c>
      <c r="E6" s="21" t="s">
        <v>327</v>
      </c>
      <c r="F6" s="21" t="s">
        <v>328</v>
      </c>
      <c r="G6" s="21" t="s">
        <v>321</v>
      </c>
      <c r="H6" s="22"/>
      <c r="I6" s="21" t="s">
        <v>35</v>
      </c>
      <c r="J6" s="21" t="s">
        <v>329</v>
      </c>
      <c r="K6" s="21" t="s">
        <v>330</v>
      </c>
    </row>
    <row r="7" spans="1:11">
      <c r="A7" s="21" t="s">
        <v>331</v>
      </c>
      <c r="B7" s="21" t="s">
        <v>332</v>
      </c>
      <c r="C7" s="21" t="s">
        <v>326</v>
      </c>
      <c r="D7" s="22">
        <v>25</v>
      </c>
      <c r="E7" s="21" t="s">
        <v>319</v>
      </c>
      <c r="F7" s="21" t="s">
        <v>166</v>
      </c>
      <c r="G7" s="21" t="s">
        <v>333</v>
      </c>
      <c r="H7" s="22">
        <v>1</v>
      </c>
      <c r="I7" s="21" t="s">
        <v>35</v>
      </c>
      <c r="J7" s="21" t="s">
        <v>322</v>
      </c>
      <c r="K7" s="21"/>
    </row>
    <row r="8" spans="1:11">
      <c r="A8" s="21" t="s">
        <v>334</v>
      </c>
      <c r="B8" s="21" t="s">
        <v>335</v>
      </c>
      <c r="C8" s="21" t="s">
        <v>318</v>
      </c>
      <c r="D8" s="22">
        <v>0</v>
      </c>
      <c r="E8" s="21" t="s">
        <v>336</v>
      </c>
      <c r="F8" s="21" t="s">
        <v>337</v>
      </c>
      <c r="G8" s="21" t="s">
        <v>321</v>
      </c>
      <c r="H8" s="22"/>
      <c r="I8" s="21" t="s">
        <v>40</v>
      </c>
      <c r="J8" s="21" t="s">
        <v>338</v>
      </c>
      <c r="K8" s="21" t="s">
        <v>339</v>
      </c>
    </row>
    <row r="9" spans="1:11">
      <c r="A9" s="21" t="s">
        <v>340</v>
      </c>
      <c r="B9" s="21" t="s">
        <v>341</v>
      </c>
      <c r="C9" s="21" t="s">
        <v>326</v>
      </c>
      <c r="D9" s="22">
        <v>25</v>
      </c>
      <c r="E9" s="21" t="s">
        <v>342</v>
      </c>
      <c r="F9" s="21" t="s">
        <v>343</v>
      </c>
      <c r="G9" s="21" t="s">
        <v>321</v>
      </c>
      <c r="H9" s="22"/>
      <c r="I9" s="21" t="s">
        <v>35</v>
      </c>
      <c r="J9" s="21" t="s">
        <v>322</v>
      </c>
      <c r="K9" s="21"/>
    </row>
    <row r="10" spans="1:11">
      <c r="A10" s="21" t="s">
        <v>344</v>
      </c>
      <c r="B10" s="21" t="s">
        <v>345</v>
      </c>
      <c r="C10" s="21" t="s">
        <v>326</v>
      </c>
      <c r="D10" s="22">
        <v>20</v>
      </c>
      <c r="E10" s="21" t="s">
        <v>319</v>
      </c>
      <c r="F10" s="21" t="s">
        <v>346</v>
      </c>
      <c r="G10" s="21" t="s">
        <v>321</v>
      </c>
      <c r="H10" s="22"/>
      <c r="I10" s="21" t="s">
        <v>35</v>
      </c>
      <c r="J10" s="21" t="s">
        <v>322</v>
      </c>
      <c r="K10" s="21"/>
    </row>
    <row r="11" spans="1:11">
      <c r="A11" s="21" t="s">
        <v>347</v>
      </c>
      <c r="B11" s="21" t="s">
        <v>348</v>
      </c>
      <c r="C11" s="21" t="s">
        <v>349</v>
      </c>
      <c r="D11" s="22">
        <v>0</v>
      </c>
      <c r="E11" s="21" t="s">
        <v>336</v>
      </c>
      <c r="F11" s="21" t="s">
        <v>15</v>
      </c>
      <c r="G11" s="21" t="s">
        <v>350</v>
      </c>
      <c r="H11" s="22">
        <v>90</v>
      </c>
      <c r="I11" s="21" t="s">
        <v>35</v>
      </c>
      <c r="J11" s="21" t="s">
        <v>338</v>
      </c>
      <c r="K11" s="21" t="s">
        <v>351</v>
      </c>
    </row>
    <row r="12" spans="1:11">
      <c r="A12" s="21" t="s">
        <v>352</v>
      </c>
      <c r="B12" s="21" t="s">
        <v>353</v>
      </c>
      <c r="C12" s="21" t="s">
        <v>349</v>
      </c>
      <c r="D12" s="22">
        <v>0</v>
      </c>
      <c r="E12" s="21" t="s">
        <v>336</v>
      </c>
      <c r="F12" s="21" t="s">
        <v>354</v>
      </c>
      <c r="G12" s="21" t="s">
        <v>355</v>
      </c>
      <c r="H12" s="22" t="s">
        <v>356</v>
      </c>
      <c r="I12" s="21" t="s">
        <v>35</v>
      </c>
      <c r="J12" s="21" t="s">
        <v>338</v>
      </c>
      <c r="K12" s="21" t="s">
        <v>357</v>
      </c>
    </row>
    <row r="13" spans="1:11">
      <c r="A13" s="21" t="s">
        <v>358</v>
      </c>
      <c r="B13" s="21" t="s">
        <v>359</v>
      </c>
      <c r="C13" s="21" t="s">
        <v>326</v>
      </c>
      <c r="D13" s="22">
        <v>15</v>
      </c>
      <c r="E13" s="21" t="s">
        <v>342</v>
      </c>
      <c r="F13" s="21" t="s">
        <v>360</v>
      </c>
      <c r="G13" s="21" t="s">
        <v>321</v>
      </c>
      <c r="H13" s="22"/>
      <c r="I13" s="21" t="s">
        <v>40</v>
      </c>
      <c r="J13" s="21" t="s">
        <v>329</v>
      </c>
      <c r="K13" s="21" t="s">
        <v>361</v>
      </c>
    </row>
    <row r="14" spans="1:11">
      <c r="A14" s="21" t="s">
        <v>362</v>
      </c>
      <c r="B14" s="21" t="s">
        <v>363</v>
      </c>
      <c r="C14" s="21" t="s">
        <v>318</v>
      </c>
      <c r="D14" s="22">
        <v>25</v>
      </c>
      <c r="E14" s="21" t="s">
        <v>342</v>
      </c>
      <c r="F14" s="21" t="s">
        <v>194</v>
      </c>
      <c r="G14" s="21" t="s">
        <v>355</v>
      </c>
      <c r="H14" s="22" t="s">
        <v>297</v>
      </c>
      <c r="I14" s="21" t="s">
        <v>35</v>
      </c>
      <c r="J14" s="21" t="s">
        <v>329</v>
      </c>
      <c r="K14" s="21"/>
    </row>
    <row r="15" spans="1:11">
      <c r="A15" s="21" t="s">
        <v>364</v>
      </c>
      <c r="B15" s="21" t="s">
        <v>365</v>
      </c>
      <c r="C15" s="21" t="s">
        <v>349</v>
      </c>
      <c r="D15" s="22">
        <v>0</v>
      </c>
      <c r="E15" s="21" t="s">
        <v>336</v>
      </c>
      <c r="F15" s="21" t="s">
        <v>366</v>
      </c>
      <c r="G15" s="21" t="s">
        <v>350</v>
      </c>
      <c r="H15" s="22">
        <v>12</v>
      </c>
      <c r="I15" s="21" t="s">
        <v>35</v>
      </c>
      <c r="J15" s="21" t="s">
        <v>338</v>
      </c>
      <c r="K15" s="21" t="s">
        <v>367</v>
      </c>
    </row>
    <row r="16" spans="1:11">
      <c r="A16" s="21" t="s">
        <v>368</v>
      </c>
      <c r="B16" s="21" t="s">
        <v>369</v>
      </c>
      <c r="C16" s="21" t="s">
        <v>318</v>
      </c>
      <c r="D16" s="22">
        <v>25</v>
      </c>
      <c r="E16" s="21" t="s">
        <v>336</v>
      </c>
      <c r="F16" s="21" t="s">
        <v>370</v>
      </c>
      <c r="G16" s="21" t="s">
        <v>355</v>
      </c>
      <c r="H16" s="22" t="s">
        <v>371</v>
      </c>
      <c r="I16" s="21" t="s">
        <v>40</v>
      </c>
      <c r="J16" s="21" t="s">
        <v>338</v>
      </c>
      <c r="K16" s="21" t="s">
        <v>372</v>
      </c>
    </row>
    <row r="17" spans="1:11">
      <c r="A17" s="21" t="s">
        <v>373</v>
      </c>
      <c r="B17" s="21" t="s">
        <v>374</v>
      </c>
      <c r="C17" s="21" t="s">
        <v>326</v>
      </c>
      <c r="D17" s="22">
        <v>15</v>
      </c>
      <c r="E17" s="21" t="s">
        <v>327</v>
      </c>
      <c r="F17" s="21" t="s">
        <v>375</v>
      </c>
      <c r="G17" s="21" t="s">
        <v>350</v>
      </c>
      <c r="H17" s="22">
        <v>6</v>
      </c>
      <c r="I17" s="21" t="s">
        <v>40</v>
      </c>
      <c r="J17" s="21" t="s">
        <v>329</v>
      </c>
      <c r="K17" s="21" t="s">
        <v>367</v>
      </c>
    </row>
    <row r="18" spans="1:11">
      <c r="A18" s="21"/>
      <c r="B18" s="21"/>
      <c r="C18" s="21"/>
      <c r="D18" s="22"/>
      <c r="E18" s="21"/>
      <c r="F18" s="21"/>
      <c r="G18" s="21"/>
      <c r="H18" s="22"/>
      <c r="I18" s="21"/>
      <c r="J18" s="21"/>
      <c r="K18" s="21"/>
    </row>
    <row r="19" spans="1:11">
      <c r="A19" s="21"/>
      <c r="B19" s="21"/>
      <c r="C19" s="21"/>
      <c r="D19" s="22"/>
      <c r="E19" s="21"/>
      <c r="F19" s="21"/>
      <c r="G19" s="21"/>
      <c r="H19" s="22"/>
      <c r="I19" s="21"/>
      <c r="J19" s="21"/>
      <c r="K19" s="21"/>
    </row>
    <row r="20" spans="1:11">
      <c r="A20" s="21"/>
      <c r="B20" s="21"/>
      <c r="C20" s="21"/>
      <c r="D20" s="22"/>
      <c r="E20" s="21"/>
      <c r="F20" s="21"/>
      <c r="G20" s="21"/>
      <c r="H20" s="22"/>
      <c r="I20" s="21"/>
      <c r="J20" s="21"/>
      <c r="K20" s="21"/>
    </row>
    <row r="21" spans="1:11">
      <c r="A21" s="21"/>
      <c r="B21" s="21"/>
      <c r="C21" s="21"/>
      <c r="D21" s="22"/>
      <c r="E21" s="21"/>
      <c r="F21" s="21"/>
      <c r="G21" s="21"/>
      <c r="H21" s="22"/>
      <c r="I21" s="21"/>
      <c r="J21" s="21"/>
      <c r="K21" s="21"/>
    </row>
    <row r="22" spans="1:11">
      <c r="A22" s="21"/>
      <c r="B22" s="21"/>
      <c r="C22" s="21"/>
      <c r="D22" s="22"/>
      <c r="E22" s="21"/>
      <c r="F22" s="21"/>
      <c r="G22" s="21"/>
      <c r="H22" s="22"/>
      <c r="I22" s="21"/>
      <c r="J22" s="21"/>
      <c r="K22" s="21"/>
    </row>
    <row r="23" spans="1:11">
      <c r="A23" s="21"/>
      <c r="B23" s="21"/>
      <c r="C23" s="21"/>
      <c r="D23" s="22"/>
      <c r="E23" s="21"/>
      <c r="F23" s="21"/>
      <c r="G23" s="21"/>
      <c r="H23" s="22"/>
      <c r="I23" s="21"/>
      <c r="J23" s="21"/>
      <c r="K23" s="21"/>
    </row>
    <row r="24" spans="1:11">
      <c r="A24" s="21"/>
      <c r="B24" s="21"/>
      <c r="C24" s="21"/>
      <c r="D24" s="22"/>
      <c r="E24" s="21"/>
      <c r="F24" s="21"/>
      <c r="G24" s="21"/>
      <c r="H24" s="22"/>
      <c r="I24" s="21"/>
      <c r="J24" s="21"/>
      <c r="K24" s="21"/>
    </row>
    <row r="25" spans="1:11">
      <c r="A25" s="21"/>
      <c r="B25" s="21"/>
      <c r="C25" s="21"/>
      <c r="D25" s="22"/>
      <c r="E25" s="21"/>
      <c r="F25" s="21"/>
      <c r="G25" s="21"/>
      <c r="H25" s="22"/>
      <c r="I25" s="21"/>
      <c r="J25" s="21"/>
      <c r="K25" s="21"/>
    </row>
    <row r="26" spans="1:11">
      <c r="A26" s="21"/>
      <c r="B26" s="21"/>
      <c r="C26" s="21"/>
      <c r="D26" s="22"/>
      <c r="E26" s="21"/>
      <c r="F26" s="21"/>
      <c r="G26" s="21"/>
      <c r="H26" s="22"/>
      <c r="I26" s="21"/>
      <c r="J26" s="21"/>
      <c r="K26" s="21"/>
    </row>
    <row r="27" spans="1:11">
      <c r="A27" s="21"/>
      <c r="B27" s="21"/>
      <c r="C27" s="21"/>
      <c r="D27" s="22"/>
      <c r="E27" s="21"/>
      <c r="F27" s="21"/>
      <c r="G27" s="21"/>
      <c r="H27" s="22"/>
      <c r="I27" s="21"/>
      <c r="J27" s="21"/>
      <c r="K27" s="21"/>
    </row>
    <row r="28" spans="1:11">
      <c r="A28" s="21"/>
      <c r="B28" s="21"/>
      <c r="C28" s="21"/>
      <c r="D28" s="22"/>
      <c r="E28" s="21"/>
      <c r="F28" s="21"/>
      <c r="G28" s="21"/>
      <c r="H28" s="22"/>
      <c r="I28" s="21"/>
      <c r="J28" s="21"/>
      <c r="K28" s="21"/>
    </row>
    <row r="29" spans="1:11">
      <c r="A29" s="21"/>
      <c r="B29" s="21"/>
      <c r="C29" s="21"/>
      <c r="D29" s="22"/>
      <c r="E29" s="21"/>
      <c r="F29" s="21"/>
      <c r="G29" s="21"/>
      <c r="H29" s="22"/>
      <c r="I29" s="21"/>
      <c r="J29" s="21"/>
      <c r="K29" s="21"/>
    </row>
    <row r="30" spans="1:11">
      <c r="A30" s="21"/>
      <c r="B30" s="21"/>
      <c r="C30" s="21"/>
      <c r="D30" s="22"/>
      <c r="E30" s="21"/>
      <c r="F30" s="21"/>
      <c r="G30" s="21"/>
      <c r="H30" s="22"/>
      <c r="I30" s="21"/>
      <c r="J30" s="21"/>
      <c r="K30" s="21"/>
    </row>
    <row r="31" spans="1:11">
      <c r="A31" s="21"/>
      <c r="B31" s="21"/>
      <c r="C31" s="21"/>
      <c r="D31" s="22"/>
      <c r="E31" s="21"/>
      <c r="F31" s="21"/>
      <c r="G31" s="21"/>
      <c r="H31" s="22"/>
      <c r="I31" s="21"/>
      <c r="J31" s="21"/>
      <c r="K31" s="21"/>
    </row>
    <row r="32" spans="1:11">
      <c r="A32" s="21"/>
      <c r="B32" s="21"/>
      <c r="C32" s="21"/>
      <c r="D32" s="22"/>
      <c r="E32" s="21"/>
      <c r="F32" s="21"/>
      <c r="G32" s="21"/>
      <c r="H32" s="22"/>
      <c r="I32" s="21"/>
      <c r="J32" s="21"/>
      <c r="K32" s="21"/>
    </row>
    <row r="33" spans="1:11">
      <c r="A33" s="21"/>
      <c r="B33" s="21"/>
      <c r="C33" s="21"/>
      <c r="D33" s="22"/>
      <c r="E33" s="21"/>
      <c r="F33" s="21"/>
      <c r="G33" s="21"/>
      <c r="H33" s="22"/>
      <c r="I33" s="21"/>
      <c r="J33" s="21"/>
      <c r="K33" s="21"/>
    </row>
    <row r="34" spans="1:11">
      <c r="A34" s="21"/>
      <c r="B34" s="21"/>
      <c r="C34" s="21"/>
      <c r="D34" s="22"/>
      <c r="E34" s="21"/>
      <c r="F34" s="21"/>
      <c r="G34" s="21"/>
      <c r="H34" s="22"/>
      <c r="I34" s="21"/>
      <c r="J34" s="21"/>
      <c r="K34" s="21"/>
    </row>
  </sheetData>
  <dataValidations count="3">
    <dataValidation type="list" allowBlank="1" showInputMessage="1" showErrorMessage="1" sqref="C5:C34">
      <formula1>"LOW,MEDIUM,HIGH,BLOCKING"</formula1>
    </dataValidation>
    <dataValidation type="list" allowBlank="1" showInputMessage="1" showErrorMessage="1" sqref="G5:G34">
      <formula1>"isTrue,isFalse,eq,neq,gt,gte,lt,lte"</formula1>
    </dataValidation>
    <dataValidation type="list" allowBlank="1" showInputMessage="1" showErrorMessage="1" sqref="I5:I34">
      <formula1>"Oui,Non"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B9BD5"/>
  </sheetPr>
  <dimension ref="A1:G24"/>
  <sheetViews>
    <sheetView workbookViewId="0"/>
  </sheetViews>
  <sheetFormatPr defaultRowHeight="15"/>
  <cols>
    <col min="1" max="1" width="22.7109375" customWidth="1"/>
    <col min="2" max="2" width="30.7109375" customWidth="1"/>
    <col min="3" max="3" width="10.7109375" customWidth="1"/>
    <col min="5" max="5" width="22.7109375" customWidth="1"/>
    <col min="6" max="6" width="30.7109375" customWidth="1"/>
    <col min="7" max="7" width="10.7109375" customWidth="1"/>
  </cols>
  <sheetData>
    <row r="1" spans="1:7">
      <c r="A1" s="1" t="s">
        <v>56</v>
      </c>
    </row>
    <row r="2" spans="1:7">
      <c r="A2" s="2" t="s">
        <v>57</v>
      </c>
    </row>
    <row r="4" spans="1:7">
      <c r="A4" s="10" t="s">
        <v>58</v>
      </c>
      <c r="B4" s="10" t="s">
        <v>29</v>
      </c>
      <c r="C4" s="10" t="s">
        <v>59</v>
      </c>
      <c r="E4" s="10" t="s">
        <v>60</v>
      </c>
      <c r="F4" s="10" t="s">
        <v>29</v>
      </c>
      <c r="G4" s="10" t="s">
        <v>61</v>
      </c>
    </row>
    <row r="5" spans="1:7">
      <c r="A5" s="21" t="s">
        <v>62</v>
      </c>
      <c r="B5" s="21" t="s">
        <v>63</v>
      </c>
      <c r="C5" s="22">
        <v>0</v>
      </c>
      <c r="E5" s="21" t="s">
        <v>64</v>
      </c>
      <c r="F5" s="21" t="s">
        <v>65</v>
      </c>
      <c r="G5" s="22">
        <v>0</v>
      </c>
    </row>
    <row r="6" spans="1:7">
      <c r="A6" s="21" t="s">
        <v>66</v>
      </c>
      <c r="B6" s="21" t="s">
        <v>67</v>
      </c>
      <c r="C6" s="22">
        <v>-0.05</v>
      </c>
      <c r="E6" s="21" t="s">
        <v>68</v>
      </c>
      <c r="F6" s="21" t="s">
        <v>69</v>
      </c>
      <c r="G6" s="22">
        <v>-0.05</v>
      </c>
    </row>
    <row r="7" spans="1:7">
      <c r="A7" s="21" t="s">
        <v>70</v>
      </c>
      <c r="B7" s="21" t="s">
        <v>71</v>
      </c>
      <c r="C7" s="22">
        <v>0</v>
      </c>
      <c r="E7" s="21" t="s">
        <v>72</v>
      </c>
      <c r="F7" s="21" t="s">
        <v>73</v>
      </c>
      <c r="G7" s="22">
        <v>0.02</v>
      </c>
    </row>
    <row r="8" spans="1:7">
      <c r="A8" s="21" t="s">
        <v>74</v>
      </c>
      <c r="B8" s="21" t="s">
        <v>75</v>
      </c>
      <c r="C8" s="22">
        <v>-0.07000000000000001</v>
      </c>
      <c r="E8" s="21" t="s">
        <v>76</v>
      </c>
      <c r="F8" s="21" t="s">
        <v>77</v>
      </c>
      <c r="G8" s="22">
        <v>0</v>
      </c>
    </row>
    <row r="9" spans="1:7">
      <c r="A9" s="21" t="s">
        <v>78</v>
      </c>
      <c r="B9" s="21" t="s">
        <v>79</v>
      </c>
      <c r="C9" s="22">
        <v>-0.05</v>
      </c>
      <c r="E9" s="21" t="s">
        <v>80</v>
      </c>
      <c r="F9" s="21" t="s">
        <v>81</v>
      </c>
      <c r="G9" s="22">
        <v>0</v>
      </c>
    </row>
    <row r="10" spans="1:7">
      <c r="A10" s="21" t="s">
        <v>82</v>
      </c>
      <c r="B10" s="21" t="s">
        <v>83</v>
      </c>
      <c r="C10" s="22">
        <v>-0.03</v>
      </c>
      <c r="E10" s="21" t="s">
        <v>84</v>
      </c>
      <c r="F10" s="21" t="s">
        <v>85</v>
      </c>
      <c r="G10" s="22">
        <v>-0.07000000000000001</v>
      </c>
    </row>
    <row r="11" spans="1:7">
      <c r="A11" s="21" t="s">
        <v>86</v>
      </c>
      <c r="B11" s="21" t="s">
        <v>87</v>
      </c>
      <c r="C11" s="22">
        <v>-0.04</v>
      </c>
      <c r="E11" s="21" t="s">
        <v>88</v>
      </c>
      <c r="F11" s="21" t="s">
        <v>89</v>
      </c>
      <c r="G11" s="22">
        <v>0</v>
      </c>
    </row>
    <row r="12" spans="1:7">
      <c r="A12" s="21"/>
      <c r="B12" s="21"/>
      <c r="C12" s="21"/>
      <c r="E12" s="21" t="s">
        <v>90</v>
      </c>
      <c r="F12" s="21" t="s">
        <v>91</v>
      </c>
      <c r="G12" s="22">
        <v>-0.03</v>
      </c>
    </row>
    <row r="13" spans="1:7">
      <c r="A13" s="21"/>
      <c r="B13" s="21"/>
      <c r="C13" s="21"/>
      <c r="E13" s="21" t="s">
        <v>92</v>
      </c>
      <c r="F13" s="21" t="s">
        <v>93</v>
      </c>
      <c r="G13" s="22">
        <v>-0.05</v>
      </c>
    </row>
    <row r="14" spans="1:7">
      <c r="A14" s="21"/>
      <c r="B14" s="21"/>
      <c r="C14" s="21"/>
      <c r="E14" s="21"/>
      <c r="F14" s="21"/>
      <c r="G14" s="21"/>
    </row>
    <row r="15" spans="1:7">
      <c r="A15" s="21"/>
      <c r="B15" s="21"/>
      <c r="C15" s="21"/>
      <c r="E15" s="21"/>
      <c r="F15" s="21"/>
      <c r="G15" s="21"/>
    </row>
    <row r="16" spans="1:7">
      <c r="A16" s="21"/>
      <c r="B16" s="21"/>
      <c r="C16" s="21"/>
      <c r="E16" s="21"/>
      <c r="F16" s="21"/>
      <c r="G16" s="21"/>
    </row>
    <row r="17" spans="1:7">
      <c r="A17" s="21"/>
      <c r="B17" s="21"/>
      <c r="C17" s="21"/>
      <c r="E17" s="21"/>
      <c r="F17" s="21"/>
      <c r="G17" s="21"/>
    </row>
    <row r="18" spans="1:7">
      <c r="A18" s="21"/>
      <c r="B18" s="21"/>
      <c r="C18" s="21"/>
      <c r="E18" s="21"/>
      <c r="F18" s="21"/>
      <c r="G18" s="21"/>
    </row>
    <row r="19" spans="1:7">
      <c r="A19" s="21"/>
      <c r="B19" s="21"/>
      <c r="C19" s="21"/>
      <c r="E19" s="21"/>
      <c r="F19" s="21"/>
      <c r="G19" s="21"/>
    </row>
    <row r="20" spans="1:7">
      <c r="A20" s="21"/>
      <c r="B20" s="21"/>
      <c r="C20" s="21"/>
      <c r="E20" s="21"/>
      <c r="F20" s="21"/>
      <c r="G20" s="21"/>
    </row>
    <row r="21" spans="1:7">
      <c r="A21" s="21"/>
      <c r="B21" s="21"/>
      <c r="C21" s="21"/>
      <c r="E21" s="21"/>
      <c r="F21" s="21"/>
      <c r="G21" s="21"/>
    </row>
    <row r="22" spans="1:7">
      <c r="A22" s="21"/>
      <c r="B22" s="21"/>
      <c r="C22" s="21"/>
      <c r="E22" s="21"/>
      <c r="F22" s="21"/>
      <c r="G22" s="21"/>
    </row>
    <row r="23" spans="1:7">
      <c r="A23" s="21"/>
      <c r="B23" s="21"/>
      <c r="C23" s="21"/>
      <c r="E23" s="21"/>
      <c r="F23" s="21"/>
      <c r="G23" s="21"/>
    </row>
    <row r="24" spans="1:7">
      <c r="A24" s="21"/>
      <c r="B24" s="21"/>
      <c r="C24" s="21"/>
      <c r="E24" s="21"/>
      <c r="F24" s="21"/>
      <c r="G2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B9BD5"/>
  </sheetPr>
  <dimension ref="A1:I60"/>
  <sheetViews>
    <sheetView workbookViewId="0"/>
  </sheetViews>
  <sheetFormatPr defaultRowHeight="15"/>
  <cols>
    <col min="1" max="1" width="28.7109375" customWidth="1"/>
    <col min="2" max="2" width="52.7109375" customWidth="1"/>
    <col min="3" max="3" width="11.7109375" customWidth="1"/>
    <col min="4" max="8" width="12.7109375" customWidth="1"/>
    <col min="9" max="9" width="40.7109375" customWidth="1"/>
  </cols>
  <sheetData>
    <row r="1" spans="1:9">
      <c r="A1" s="1" t="s">
        <v>376</v>
      </c>
    </row>
    <row r="2" spans="1:9">
      <c r="A2" s="2" t="s">
        <v>377</v>
      </c>
    </row>
    <row r="4" spans="1:9">
      <c r="A4" s="5" t="s">
        <v>378</v>
      </c>
    </row>
    <row r="5" spans="1:9">
      <c r="A5" s="10" t="s">
        <v>17</v>
      </c>
      <c r="B5" s="10" t="s">
        <v>379</v>
      </c>
      <c r="C5" s="10" t="s">
        <v>380</v>
      </c>
      <c r="D5" s="10" t="s">
        <v>381</v>
      </c>
      <c r="E5" s="10" t="s">
        <v>382</v>
      </c>
      <c r="F5" s="10" t="s">
        <v>383</v>
      </c>
      <c r="G5" s="10" t="s">
        <v>384</v>
      </c>
      <c r="H5" s="10" t="s">
        <v>385</v>
      </c>
      <c r="I5" s="10" t="s">
        <v>386</v>
      </c>
    </row>
    <row r="6" spans="1:9">
      <c r="A6" s="21" t="s">
        <v>387</v>
      </c>
      <c r="B6" s="21" t="s">
        <v>388</v>
      </c>
      <c r="C6" s="21" t="s">
        <v>389</v>
      </c>
      <c r="D6" s="21" t="s">
        <v>40</v>
      </c>
      <c r="E6" s="21" t="s">
        <v>40</v>
      </c>
      <c r="F6" s="21" t="s">
        <v>40</v>
      </c>
      <c r="G6" s="21" t="s">
        <v>35</v>
      </c>
      <c r="H6" s="21" t="s">
        <v>35</v>
      </c>
      <c r="I6" s="21" t="s">
        <v>390</v>
      </c>
    </row>
    <row r="7" spans="1:9">
      <c r="A7" s="21" t="s">
        <v>391</v>
      </c>
      <c r="B7" s="21" t="s">
        <v>392</v>
      </c>
      <c r="C7" s="21" t="s">
        <v>393</v>
      </c>
      <c r="D7" s="21" t="s">
        <v>40</v>
      </c>
      <c r="E7" s="21" t="s">
        <v>40</v>
      </c>
      <c r="F7" s="21" t="s">
        <v>40</v>
      </c>
      <c r="G7" s="21" t="s">
        <v>40</v>
      </c>
      <c r="H7" s="21" t="s">
        <v>35</v>
      </c>
      <c r="I7" s="21" t="s">
        <v>394</v>
      </c>
    </row>
    <row r="8" spans="1:9">
      <c r="A8" s="21" t="s">
        <v>395</v>
      </c>
      <c r="B8" s="21" t="s">
        <v>396</v>
      </c>
      <c r="C8" s="21" t="s">
        <v>132</v>
      </c>
      <c r="D8" s="21" t="s">
        <v>40</v>
      </c>
      <c r="E8" s="21" t="s">
        <v>35</v>
      </c>
      <c r="F8" s="21" t="s">
        <v>40</v>
      </c>
      <c r="G8" s="21" t="s">
        <v>40</v>
      </c>
      <c r="H8" s="21" t="s">
        <v>35</v>
      </c>
      <c r="I8" s="21" t="s">
        <v>397</v>
      </c>
    </row>
    <row r="9" spans="1:9">
      <c r="A9" s="21" t="s">
        <v>398</v>
      </c>
      <c r="B9" s="21" t="s">
        <v>399</v>
      </c>
      <c r="C9" s="21" t="s">
        <v>132</v>
      </c>
      <c r="D9" s="21" t="s">
        <v>35</v>
      </c>
      <c r="E9" s="21" t="s">
        <v>40</v>
      </c>
      <c r="F9" s="21" t="s">
        <v>40</v>
      </c>
      <c r="G9" s="21" t="s">
        <v>40</v>
      </c>
      <c r="H9" s="21" t="s">
        <v>35</v>
      </c>
      <c r="I9" s="21" t="s">
        <v>400</v>
      </c>
    </row>
    <row r="10" spans="1:9">
      <c r="A10" s="21" t="s">
        <v>401</v>
      </c>
      <c r="B10" s="21" t="s">
        <v>402</v>
      </c>
      <c r="C10" s="21" t="s">
        <v>132</v>
      </c>
      <c r="D10" s="21" t="s">
        <v>40</v>
      </c>
      <c r="E10" s="21" t="s">
        <v>35</v>
      </c>
      <c r="F10" s="21" t="s">
        <v>40</v>
      </c>
      <c r="G10" s="21" t="s">
        <v>35</v>
      </c>
      <c r="H10" s="21" t="s">
        <v>35</v>
      </c>
      <c r="I10" s="21" t="s">
        <v>403</v>
      </c>
    </row>
    <row r="11" spans="1:9">
      <c r="A11" s="21" t="s">
        <v>404</v>
      </c>
      <c r="B11" s="21" t="s">
        <v>405</v>
      </c>
      <c r="C11" s="21" t="s">
        <v>132</v>
      </c>
      <c r="D11" s="21" t="s">
        <v>40</v>
      </c>
      <c r="E11" s="21" t="s">
        <v>40</v>
      </c>
      <c r="F11" s="21" t="s">
        <v>40</v>
      </c>
      <c r="G11" s="21" t="s">
        <v>35</v>
      </c>
      <c r="H11" s="21" t="s">
        <v>40</v>
      </c>
      <c r="I11" s="21"/>
    </row>
    <row r="12" spans="1:9">
      <c r="A12" s="21" t="s">
        <v>406</v>
      </c>
      <c r="B12" s="21" t="s">
        <v>407</v>
      </c>
      <c r="C12" s="21" t="s">
        <v>132</v>
      </c>
      <c r="D12" s="21" t="s">
        <v>35</v>
      </c>
      <c r="E12" s="21" t="s">
        <v>40</v>
      </c>
      <c r="F12" s="21" t="s">
        <v>40</v>
      </c>
      <c r="G12" s="21" t="s">
        <v>35</v>
      </c>
      <c r="H12" s="21" t="s">
        <v>40</v>
      </c>
      <c r="I12" s="21" t="s">
        <v>408</v>
      </c>
    </row>
    <row r="13" spans="1:9">
      <c r="A13" s="21" t="s">
        <v>409</v>
      </c>
      <c r="B13" s="21" t="s">
        <v>410</v>
      </c>
      <c r="C13" s="21" t="s">
        <v>132</v>
      </c>
      <c r="D13" s="21" t="s">
        <v>40</v>
      </c>
      <c r="E13" s="21" t="s">
        <v>40</v>
      </c>
      <c r="F13" s="21" t="s">
        <v>40</v>
      </c>
      <c r="G13" s="21" t="s">
        <v>35</v>
      </c>
      <c r="H13" s="21" t="s">
        <v>40</v>
      </c>
      <c r="I13" s="21"/>
    </row>
    <row r="14" spans="1:9">
      <c r="A14" s="21" t="s">
        <v>411</v>
      </c>
      <c r="B14" s="21" t="s">
        <v>412</v>
      </c>
      <c r="C14" s="21" t="s">
        <v>132</v>
      </c>
      <c r="D14" s="21" t="s">
        <v>40</v>
      </c>
      <c r="E14" s="21" t="s">
        <v>40</v>
      </c>
      <c r="F14" s="21" t="s">
        <v>40</v>
      </c>
      <c r="G14" s="21" t="s">
        <v>35</v>
      </c>
      <c r="H14" s="21" t="s">
        <v>35</v>
      </c>
      <c r="I14" s="21"/>
    </row>
    <row r="15" spans="1:9">
      <c r="A15" s="21"/>
      <c r="B15" s="21"/>
      <c r="C15" s="21"/>
      <c r="D15" s="21"/>
      <c r="E15" s="21"/>
      <c r="F15" s="21"/>
      <c r="G15" s="21"/>
      <c r="H15" s="21"/>
      <c r="I15" s="21"/>
    </row>
    <row r="16" spans="1:9">
      <c r="A16" s="21"/>
      <c r="B16" s="21"/>
      <c r="C16" s="21"/>
      <c r="D16" s="21"/>
      <c r="E16" s="21"/>
      <c r="F16" s="21"/>
      <c r="G16" s="21"/>
      <c r="H16" s="21"/>
      <c r="I16" s="21"/>
    </row>
    <row r="17" spans="1:9">
      <c r="A17" s="21"/>
      <c r="B17" s="21"/>
      <c r="C17" s="21"/>
      <c r="D17" s="21"/>
      <c r="E17" s="21"/>
      <c r="F17" s="21"/>
      <c r="G17" s="21"/>
      <c r="H17" s="21"/>
      <c r="I17" s="21"/>
    </row>
    <row r="18" spans="1:9">
      <c r="A18" s="21"/>
      <c r="B18" s="21"/>
      <c r="C18" s="21"/>
      <c r="D18" s="21"/>
      <c r="E18" s="21"/>
      <c r="F18" s="21"/>
      <c r="G18" s="21"/>
      <c r="H18" s="21"/>
      <c r="I18" s="21"/>
    </row>
    <row r="19" spans="1:9">
      <c r="A19" s="21"/>
      <c r="B19" s="21"/>
      <c r="C19" s="21"/>
      <c r="D19" s="21"/>
      <c r="E19" s="21"/>
      <c r="F19" s="21"/>
      <c r="G19" s="21"/>
      <c r="H19" s="21"/>
      <c r="I19" s="21"/>
    </row>
    <row r="20" spans="1:9">
      <c r="A20" s="21"/>
      <c r="B20" s="21"/>
      <c r="C20" s="21"/>
      <c r="D20" s="21"/>
      <c r="E20" s="21"/>
      <c r="F20" s="21"/>
      <c r="G20" s="21"/>
      <c r="H20" s="21"/>
      <c r="I20" s="21"/>
    </row>
    <row r="21" spans="1:9">
      <c r="A21" s="21"/>
      <c r="B21" s="21"/>
      <c r="C21" s="21"/>
      <c r="D21" s="21"/>
      <c r="E21" s="21"/>
      <c r="F21" s="21"/>
      <c r="G21" s="21"/>
      <c r="H21" s="21"/>
      <c r="I21" s="21"/>
    </row>
    <row r="22" spans="1:9">
      <c r="A22" s="21"/>
      <c r="B22" s="21"/>
      <c r="C22" s="21"/>
      <c r="D22" s="21"/>
      <c r="E22" s="21"/>
      <c r="F22" s="21"/>
      <c r="G22" s="21"/>
      <c r="H22" s="21"/>
      <c r="I22" s="21"/>
    </row>
    <row r="23" spans="1:9">
      <c r="A23" s="21"/>
      <c r="B23" s="21"/>
      <c r="C23" s="21"/>
      <c r="D23" s="21"/>
      <c r="E23" s="21"/>
      <c r="F23" s="21"/>
      <c r="G23" s="21"/>
      <c r="H23" s="21"/>
      <c r="I23" s="21"/>
    </row>
    <row r="24" spans="1:9">
      <c r="A24" s="21"/>
      <c r="B24" s="21"/>
      <c r="C24" s="21"/>
      <c r="D24" s="21"/>
      <c r="E24" s="21"/>
      <c r="F24" s="21"/>
      <c r="G24" s="21"/>
      <c r="H24" s="21"/>
      <c r="I24" s="21"/>
    </row>
    <row r="25" spans="1:9">
      <c r="A25" s="21"/>
      <c r="B25" s="21"/>
      <c r="C25" s="21"/>
      <c r="D25" s="21"/>
      <c r="E25" s="21"/>
      <c r="F25" s="21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2" spans="1:9">
      <c r="A32" s="5" t="s">
        <v>413</v>
      </c>
    </row>
    <row r="33" spans="1:3">
      <c r="A33" s="10" t="s">
        <v>17</v>
      </c>
      <c r="B33" s="10" t="s">
        <v>29</v>
      </c>
      <c r="C33" s="10" t="s">
        <v>414</v>
      </c>
    </row>
    <row r="34" spans="1:3">
      <c r="A34" s="21" t="s">
        <v>415</v>
      </c>
      <c r="B34" s="21" t="s">
        <v>416</v>
      </c>
      <c r="C34" s="22">
        <v>1</v>
      </c>
    </row>
    <row r="35" spans="1:3">
      <c r="A35" s="21" t="s">
        <v>417</v>
      </c>
      <c r="B35" s="21" t="s">
        <v>418</v>
      </c>
      <c r="C35" s="22">
        <v>1</v>
      </c>
    </row>
    <row r="36" spans="1:3">
      <c r="A36" s="21" t="s">
        <v>419</v>
      </c>
      <c r="B36" s="21" t="s">
        <v>420</v>
      </c>
      <c r="C36" s="22">
        <v>0.8</v>
      </c>
    </row>
    <row r="37" spans="1:3">
      <c r="A37" s="21" t="s">
        <v>421</v>
      </c>
      <c r="B37" s="21" t="s">
        <v>422</v>
      </c>
      <c r="C37" s="22">
        <v>0.4</v>
      </c>
    </row>
    <row r="38" spans="1:3">
      <c r="A38" s="21" t="s">
        <v>423</v>
      </c>
      <c r="B38" s="21" t="s">
        <v>424</v>
      </c>
      <c r="C38" s="22">
        <v>0.2</v>
      </c>
    </row>
    <row r="39" spans="1:3">
      <c r="A39" s="21" t="s">
        <v>425</v>
      </c>
      <c r="B39" s="21" t="s">
        <v>426</v>
      </c>
      <c r="C39" s="22">
        <v>0</v>
      </c>
    </row>
    <row r="40" spans="1:3">
      <c r="A40" s="21"/>
      <c r="B40" s="21"/>
      <c r="C40" s="21"/>
    </row>
    <row r="41" spans="1:3">
      <c r="A41" s="21"/>
      <c r="B41" s="21"/>
      <c r="C41" s="21"/>
    </row>
    <row r="42" spans="1:3">
      <c r="A42" s="21"/>
      <c r="B42" s="21"/>
      <c r="C42" s="21"/>
    </row>
    <row r="43" spans="1:3">
      <c r="A43" s="21"/>
      <c r="B43" s="21"/>
      <c r="C43" s="21"/>
    </row>
    <row r="44" spans="1:3">
      <c r="A44" s="21"/>
      <c r="B44" s="21"/>
      <c r="C44" s="21"/>
    </row>
    <row r="45" spans="1:3">
      <c r="A45" s="21"/>
      <c r="B45" s="21"/>
      <c r="C45" s="21"/>
    </row>
    <row r="48" spans="1:3">
      <c r="A48" s="5" t="s">
        <v>427</v>
      </c>
    </row>
    <row r="49" spans="1:3">
      <c r="A49" s="10" t="s">
        <v>17</v>
      </c>
      <c r="B49" s="10" t="s">
        <v>29</v>
      </c>
      <c r="C49" s="10" t="s">
        <v>428</v>
      </c>
    </row>
    <row r="50" spans="1:3">
      <c r="A50" s="21" t="s">
        <v>429</v>
      </c>
      <c r="B50" s="21" t="s">
        <v>430</v>
      </c>
      <c r="C50" s="21" t="s">
        <v>35</v>
      </c>
    </row>
    <row r="51" spans="1:3">
      <c r="A51" s="21" t="s">
        <v>431</v>
      </c>
      <c r="B51" s="21" t="s">
        <v>432</v>
      </c>
      <c r="C51" s="21" t="s">
        <v>40</v>
      </c>
    </row>
    <row r="52" spans="1:3">
      <c r="A52" s="21" t="s">
        <v>433</v>
      </c>
      <c r="B52" s="21" t="s">
        <v>434</v>
      </c>
      <c r="C52" s="21" t="s">
        <v>40</v>
      </c>
    </row>
    <row r="53" spans="1:3">
      <c r="A53" s="21" t="s">
        <v>435</v>
      </c>
      <c r="B53" s="21" t="s">
        <v>436</v>
      </c>
      <c r="C53" s="21" t="s">
        <v>35</v>
      </c>
    </row>
    <row r="54" spans="1:3">
      <c r="A54" s="21" t="s">
        <v>437</v>
      </c>
      <c r="B54" s="21" t="s">
        <v>438</v>
      </c>
      <c r="C54" s="21" t="s">
        <v>35</v>
      </c>
    </row>
    <row r="56" spans="1:3">
      <c r="A56" s="5" t="s">
        <v>439</v>
      </c>
    </row>
    <row r="57" spans="1:3">
      <c r="A57" s="21" t="s">
        <v>440</v>
      </c>
      <c r="B57" s="21" t="s">
        <v>441</v>
      </c>
    </row>
    <row r="58" spans="1:3">
      <c r="A58" s="21" t="s">
        <v>442</v>
      </c>
      <c r="B58" s="21" t="s">
        <v>443</v>
      </c>
    </row>
    <row r="59" spans="1:3">
      <c r="A59" s="21" t="s">
        <v>444</v>
      </c>
      <c r="B59" s="21" t="s">
        <v>445</v>
      </c>
    </row>
    <row r="60" spans="1:3">
      <c r="A60" s="21" t="s">
        <v>446</v>
      </c>
      <c r="B60" s="21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47</vt:i4>
      </vt:variant>
    </vt:vector>
  </HeadingPairs>
  <TitlesOfParts>
    <vt:vector size="61" baseType="lpstr">
      <vt:lpstr>LisezMoi</vt:lpstr>
      <vt:lpstr>Saisie</vt:lpstr>
      <vt:lpstr>Resultat</vt:lpstr>
      <vt:lpstr>Calculateurs</vt:lpstr>
      <vt:lpstr>Portefeuille</vt:lpstr>
      <vt:lpstr>Stress</vt:lpstr>
      <vt:lpstr>Tests</vt:lpstr>
      <vt:lpstr>Historique</vt:lpstr>
      <vt:lpstr>P_General</vt:lpstr>
      <vt:lpstr>P_Criteres</vt:lpstr>
      <vt:lpstr>P_Baremes</vt:lpstr>
      <vt:lpstr>P_Alertes</vt:lpstr>
      <vt:lpstr>P_Ajustements</vt:lpstr>
      <vt:lpstr>P_Referentiels</vt:lpstr>
      <vt:lpstr>In_Calc</vt:lpstr>
      <vt:lpstr>In_Cles</vt:lpstr>
      <vt:lpstr>In_Retenue</vt:lpstr>
      <vt:lpstr>In_Saisie</vt:lpstr>
      <vt:lpstr>P_Classes</vt:lpstr>
      <vt:lpstr>P_ClsCodes</vt:lpstr>
      <vt:lpstr>P_Date</vt:lpstr>
      <vt:lpstr>P_DomCodes</vt:lpstr>
      <vt:lpstr>P_DomNoms</vt:lpstr>
      <vt:lpstr>P_DomPoids</vt:lpstr>
      <vt:lpstr>P_DPD1</vt:lpstr>
      <vt:lpstr>P_DPD2</vt:lpstr>
      <vt:lpstr>P_DPD3</vt:lpstr>
      <vt:lpstr>P_ExtraKey</vt:lpstr>
      <vt:lpstr>P_GO</vt:lpstr>
      <vt:lpstr>P_GWC</vt:lpstr>
      <vt:lpstr>P_PDa</vt:lpstr>
      <vt:lpstr>P_PDb</vt:lpstr>
      <vt:lpstr>P_PhaseCodes</vt:lpstr>
      <vt:lpstr>P_PhaseHdr</vt:lpstr>
      <vt:lpstr>P_PhaseTbl</vt:lpstr>
      <vt:lpstr>P_Scale</vt:lpstr>
      <vt:lpstr>P_SegCodes</vt:lpstr>
      <vt:lpstr>P_SegTbl</vt:lpstr>
      <vt:lpstr>P_Version</vt:lpstr>
      <vt:lpstr>P_WATCH</vt:lpstr>
      <vt:lpstr>P_ZoneCodes</vt:lpstr>
      <vt:lpstr>P_ZoneTbl</vt:lpstr>
      <vt:lpstr>R_AuthCodes</vt:lpstr>
      <vt:lpstr>R_AuthTbl</vt:lpstr>
      <vt:lpstr>R_FinCodes</vt:lpstr>
      <vt:lpstr>R_FinTbl</vt:lpstr>
      <vt:lpstr>Res_Adj</vt:lpstr>
      <vt:lpstr>Res_Alertes</vt:lpstr>
      <vt:lpstr>Res_ClasseInt</vt:lpstr>
      <vt:lpstr>Res_Comite</vt:lpstr>
      <vt:lpstr>Res_Decision</vt:lpstr>
      <vt:lpstr>Res_DomCodes</vt:lpstr>
      <vt:lpstr>Res_DomScores</vt:lpstr>
      <vt:lpstr>Res_EcoScore</vt:lpstr>
      <vt:lpstr>Res_GuarScore</vt:lpstr>
      <vt:lpstr>Res_Incomplet</vt:lpstr>
      <vt:lpstr>Res_Malus</vt:lpstr>
      <vt:lpstr>Res_Manquantes</vt:lpstr>
      <vt:lpstr>Res_PD</vt:lpstr>
      <vt:lpstr>Res_ScoreEco</vt:lpstr>
      <vt:lpstr>Res_ScoreFinal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2026-09-29T13:13:07Z</dcterms:created>
  <dcterms:modified xsi:type="dcterms:W3CDTF">2026-09-29T13:13:07Z</dcterms:modified>
</cp:coreProperties>
</file>