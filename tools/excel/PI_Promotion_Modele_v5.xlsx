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cueil" sheetId="1" r:id="rId1"/>
    <sheet name="Saisie" sheetId="2" r:id="rId2"/>
    <sheet name="Fiche" sheetId="3" r:id="rId3"/>
    <sheet name="Calculateurs" sheetId="4" r:id="rId4"/>
    <sheet name="Portefeuille" sheetId="5" r:id="rId5"/>
    <sheet name="Stress" sheetId="6" r:id="rId6"/>
    <sheet name="Resultat" sheetId="7" r:id="rId7"/>
    <sheet name="Historique" sheetId="8" r:id="rId8"/>
    <sheet name="Aide" sheetId="9" r:id="rId9"/>
    <sheet name="Tests" sheetId="10" state="hidden" r:id="rId10"/>
    <sheet name="Validation" sheetId="11" state="hidden" r:id="rId11"/>
    <sheet name="P_General" sheetId="12" state="hidden" r:id="rId12"/>
    <sheet name="P_Criteres" sheetId="13" state="hidden" r:id="rId13"/>
    <sheet name="P_Baremes" sheetId="14" state="hidden" r:id="rId14"/>
    <sheet name="P_Alertes" sheetId="15" state="hidden" r:id="rId15"/>
    <sheet name="P_Ajustements" sheetId="16" state="hidden" r:id="rId16"/>
    <sheet name="P_Referentiels" sheetId="17" state="hidden" r:id="rId17"/>
  </sheets>
  <definedNames>
    <definedName name="Calc_Actif">P_General!$E$4</definedName>
    <definedName name="Calc_Arret">Calculateurs!$C$125:$C$127</definedName>
    <definedName name="Calc_Auth">Calculateurs!$D$8:$D$31</definedName>
    <definedName name="Calc_Concours">Calculateurs!$A$105:$E$114</definedName>
    <definedName name="Calc_Cout">Calculateurs!$C$187:$C$188</definedName>
    <definedName name="Calc_Desist">Calculateurs!$C$183:$C$184</definedName>
    <definedName name="Calc_Equip">Calculateurs!$A$164:$H$171</definedName>
    <definedName name="Calc_EquipParam">Calculateurs!$C$158:$C$161</definedName>
    <definedName name="Calc_Lots">Calculateurs!$A$42:$D$81</definedName>
    <definedName name="Calc_Mainlevee">Calculateurs!$C$90:$C$92</definedName>
    <definedName name="Calc_Mixte">Calculateurs!$C$178:$C$180</definedName>
    <definedName name="Calc_Plan">Calculateurs!$A$140:$D$151</definedName>
    <definedName name="Calc_PlanDate">Calculateurs!$C$138</definedName>
    <definedName name="Calc_Tirage">Calculateurs!$C$132:$C$134</definedName>
    <definedName name="Calc_Valeur">Calculateurs!$C$39</definedName>
    <definedName name="In_Calc">Saisie!$F$13:$F$92</definedName>
    <definedName name="In_Cles">Saisie!$B$13:$B$92</definedName>
    <definedName name="In_Etat">Saisie!$I$13:$I$92</definedName>
    <definedName name="In_Retenue">Saisie!$G$13:$G$92</definedName>
    <definedName name="In_Saisie">Saisie!$E$13:$E$92</definedName>
    <definedName name="P_Classes">P_General!$A$27:$E$36</definedName>
    <definedName name="P_ClsCodes">P_General!$A$27:$A$36</definedName>
    <definedName name="P_Date">P_General!$B$5</definedName>
    <definedName name="P_DecTbl">P_General!$A$52:$B$56</definedName>
    <definedName name="P_DomCodes">P_General!$A$16:$A$23</definedName>
    <definedName name="P_DomNoms">P_General!$B$16:$B$23</definedName>
    <definedName name="P_DomPoids">P_General!$C$16:$C$23</definedName>
    <definedName name="P_DPD1">P_General!$B$45</definedName>
    <definedName name="P_DPD2">P_General!$B$46</definedName>
    <definedName name="P_DPD3">P_General!$B$47</definedName>
    <definedName name="P_ExtraKey">P_General!$B$12</definedName>
    <definedName name="P_GO">P_General!$B$7</definedName>
    <definedName name="P_GWC">P_General!$B$8</definedName>
    <definedName name="P_PDa">P_General!$B$10</definedName>
    <definedName name="P_PDb">P_General!$B$11</definedName>
    <definedName name="P_PhaseCodes">P_General!$A$40:$A$42</definedName>
    <definedName name="P_PhaseHdr">P_General!$B$39:$I$39</definedName>
    <definedName name="P_PhaseTbl">P_General!$A$40:$I$42</definedName>
    <definedName name="P_Scale">P_General!$B$6</definedName>
    <definedName name="P_SegCodes">P_Ajustements!$A$5:$A$24</definedName>
    <definedName name="P_SegLabels">P_Ajustements!$B$5:$B$11</definedName>
    <definedName name="P_SegLabelsAll">P_Ajustements!$B$5:$B$24</definedName>
    <definedName name="P_SegTbl">P_Ajustements!$A$5:$C$24</definedName>
    <definedName name="P_Version">P_General!$B$4</definedName>
    <definedName name="P_WATCH">P_General!$B$9</definedName>
    <definedName name="P_ZoneCodes">P_Ajustements!$E$5:$E$24</definedName>
    <definedName name="P_ZoneLabels">P_Ajustements!$F$5:$F$13</definedName>
    <definedName name="P_ZoneLabelsAll">P_Ajustements!$F$5:$F$24</definedName>
    <definedName name="P_ZoneTbl">P_Ajustements!$E$5:$G$24</definedName>
    <definedName name="_xlnm.Print_Area" localSheetId="2">Fiche!$A$1:$F$40</definedName>
    <definedName name="R_AuthCodes">P_Referentiels!$A$6:$A$29</definedName>
    <definedName name="R_AuthTbl">P_Referentiels!$A$6:$I$29</definedName>
    <definedName name="R_FinCodes">P_Referentiels!$A$34:$A$45</definedName>
    <definedName name="R_FinTbl">P_Referentiels!$A$34:$C$45</definedName>
    <definedName name="R_ModCode">P_Referentiels!$B$66:$B$75</definedName>
    <definedName name="R_ModKey">P_Referentiels!$A$66:$A$75</definedName>
    <definedName name="R_ModLab">P_Referentiels!$C$66:$C$75</definedName>
    <definedName name="Res_Adj">Resultat!$C$11</definedName>
    <definedName name="Res_Alertes">Resultat!$C$26</definedName>
    <definedName name="Res_AlertesLib">Resultat!$P$137</definedName>
    <definedName name="Res_ClasseInt">Resultat!$C$8</definedName>
    <definedName name="Res_Comite">Resultat!$E$27</definedName>
    <definedName name="Res_Conditions">Resultat!$C$25</definedName>
    <definedName name="Res_Decision">Resultat!$C$7</definedName>
    <definedName name="Res_DomCodes">Resultat!$A$32:$A$39</definedName>
    <definedName name="Res_DomScores">Resultat!$C$32:$C$39</definedName>
    <definedName name="Res_EcoScore">Resultat!$C$15</definedName>
    <definedName name="Res_GuarScore">Resultat!$C$16</definedName>
    <definedName name="Res_Incomplet">Resultat!$E$23</definedName>
    <definedName name="Res_Malus">Resultat!$C$12</definedName>
    <definedName name="Res_Manquantes">Resultat!$C$24</definedName>
    <definedName name="Res_PD">Resultat!$C$9</definedName>
    <definedName name="Res_ScoreEco">Resultat!$C$10</definedName>
    <definedName name="Res_ScoreFinal">Resultat!$C$6</definedName>
  </definedNames>
  <calcPr calcId="124519" fullCalcOnLoad="1"/>
</workbook>
</file>

<file path=xl/comments1.xml><?xml version="1.0" encoding="utf-8"?>
<comments xmlns="http://schemas.openxmlformats.org/spreadsheetml/2006/main">
  <authors>
    <author/>
  </authors>
  <commentList>
    <comment ref="C8" authorId="0">
      <text>
        <r>
          <rPr>
            <sz val="8"/>
            <color indexed="81"/>
            <rFont val="Tahoma"/>
            <family val="2"/>
          </rPr>
          <t>Classe réglementaire BAM du dossier. Vide = dossier incomplet.</t>
        </r>
      </text>
    </comment>
    <comment ref="E8" authorId="0">
      <text>
        <r>
          <rPr>
            <sz val="8"/>
            <color indexed="81"/>
            <rFont val="Tahoma"/>
            <family val="2"/>
          </rPr>
          <t>Classe suggérée par le seul retard de paiement. Les déclencheurs qualitatifs 1/W (art. 5, 12.6, 12.7, restructuration) restent à apprécier.</t>
        </r>
      </text>
    </comment>
    <comment ref="C9" authorId="0">
      <text>
        <r>
          <rPr>
            <sz val="8"/>
            <color indexed="81"/>
            <rFont val="Tahoma"/>
            <family val="2"/>
          </rPr>
          <t>Facultatif : sert uniquement au score « challenger » pondéré par phase (indicatif).</t>
        </r>
      </text>
    </comment>
  </commentList>
</comments>
</file>

<file path=xl/sharedStrings.xml><?xml version="1.0" encoding="utf-8"?>
<sst xmlns="http://schemas.openxmlformats.org/spreadsheetml/2006/main" count="2822" uniqueCount="986">
  <si>
    <t>Validation du modèle : ruban « Scoring PI » › Valider le modèle (le rapport s'affiche ici).</t>
  </si>
  <si>
    <t>Paramètres généraux du modèle</t>
  </si>
  <si>
    <t>Cellules bleues = paramétrables. Toute modification doit être validée (macro ValiderModele) et versionnée.</t>
  </si>
  <si>
    <t>Paramètre</t>
  </si>
  <si>
    <t>Valeur</t>
  </si>
  <si>
    <t>Version du modèle</t>
  </si>
  <si>
    <t>v5.0.0</t>
  </si>
  <si>
    <t>Publié le</t>
  </si>
  <si>
    <t>2026-10-01</t>
  </si>
  <si>
    <t>Échelle de notation des critères</t>
  </si>
  <si>
    <t>Seuil GO (score final ≥)</t>
  </si>
  <si>
    <t>Seuil GO sous conditions (≥)</t>
  </si>
  <si>
    <t>Seuil Watch list (≥)</t>
  </si>
  <si>
    <t>PD proxy — constante a</t>
  </si>
  <si>
    <t>PD proxy — coefficient b</t>
  </si>
  <si>
    <t>Clé critique additionnelle</t>
  </si>
  <si>
    <t>dpd_days</t>
  </si>
  <si>
    <t>Domaines de notation</t>
  </si>
  <si>
    <t>Code</t>
  </si>
  <si>
    <t>Nom</t>
  </si>
  <si>
    <t>Poids</t>
  </si>
  <si>
    <t>D1</t>
  </si>
  <si>
    <t>Sponsor &amp; Gouvernance</t>
  </si>
  <si>
    <t>D2</t>
  </si>
  <si>
    <t>Qualité intrinsèque du projet</t>
  </si>
  <si>
    <t>D3</t>
  </si>
  <si>
    <t>Commercial &amp; Cash-flow</t>
  </si>
  <si>
    <t>D4</t>
  </si>
  <si>
    <t>Structuration financière &amp; LGD</t>
  </si>
  <si>
    <t>Classes réglementaires (ordre de sévérité croissante)</t>
  </si>
  <si>
    <t>Libellé</t>
  </si>
  <si>
    <t>Défaut avéré</t>
  </si>
  <si>
    <t>Bloque GO</t>
  </si>
  <si>
    <t>Coefficient BAM</t>
  </si>
  <si>
    <t>SAIN</t>
  </si>
  <si>
    <t>Créance saine</t>
  </si>
  <si>
    <t>Non</t>
  </si>
  <si>
    <t>SENSIBLE</t>
  </si>
  <si>
    <t>Créance sensible (surveillance)</t>
  </si>
  <si>
    <t>PRE_DOUTEUX</t>
  </si>
  <si>
    <t>Pré-douteuse</t>
  </si>
  <si>
    <t>Oui</t>
  </si>
  <si>
    <t>DOUTEUX</t>
  </si>
  <si>
    <t>Douteuse</t>
  </si>
  <si>
    <t>COMPROMIS</t>
  </si>
  <si>
    <t>Compromise</t>
  </si>
  <si>
    <t>CTX</t>
  </si>
  <si>
    <t>Contentieux</t>
  </si>
  <si>
    <t>Grilles de pondération par phase (challenger — non adoptées)</t>
  </si>
  <si>
    <t>Phase</t>
  </si>
  <si>
    <t>PRE_DEVELOPMENT</t>
  </si>
  <si>
    <t>CONSTRUCTION</t>
  </si>
  <si>
    <t>ECOULEMENT</t>
  </si>
  <si>
    <t>Repères de retard de paiement (jours)</t>
  </si>
  <si>
    <t>Seuil pré-douteux</t>
  </si>
  <si>
    <t>Seuil douteux</t>
  </si>
  <si>
    <t>Seuil compromis</t>
  </si>
  <si>
    <t>Libellés des décisions (affichage)</t>
  </si>
  <si>
    <t>GO</t>
  </si>
  <si>
    <t>Favorable</t>
  </si>
  <si>
    <t>GO_WITH_CONDITIONS</t>
  </si>
  <si>
    <t>Favorable sous conditions</t>
  </si>
  <si>
    <t>WATCH_LIST</t>
  </si>
  <si>
    <t>Surveillance (watch list)</t>
  </si>
  <si>
    <t>NO_GO</t>
  </si>
  <si>
    <t>Défavorable</t>
  </si>
  <si>
    <t>DOSSIER_INCOMPLET</t>
  </si>
  <si>
    <t>Dossier incomplet</t>
  </si>
  <si>
    <t>Calculateurs actifs</t>
  </si>
  <si>
    <t>Ajustements segment (α) et zone (β)</t>
  </si>
  <si>
    <t>S_ajusté = S_éco × (1 + α + β). Un segment ou une zone hors de ces listes est signalé, jamais assimilé à un risque neutre.</t>
  </si>
  <si>
    <t>Segment</t>
  </si>
  <si>
    <t>α</t>
  </si>
  <si>
    <t>Zone</t>
  </si>
  <si>
    <t>β</t>
  </si>
  <si>
    <t>social</t>
  </si>
  <si>
    <t>Logement social</t>
  </si>
  <si>
    <t>agadir</t>
  </si>
  <si>
    <t>Agadir</t>
  </si>
  <si>
    <t>villas</t>
  </si>
  <si>
    <t>Villas</t>
  </si>
  <si>
    <t>tanger</t>
  </si>
  <si>
    <t>Tanger</t>
  </si>
  <si>
    <t>bureaux</t>
  </si>
  <si>
    <t>Bureaux</t>
  </si>
  <si>
    <t>marrakech</t>
  </si>
  <si>
    <t>Marrakech</t>
  </si>
  <si>
    <t>commerces</t>
  </si>
  <si>
    <t>Commerces</t>
  </si>
  <si>
    <t>casa_centre</t>
  </si>
  <si>
    <t>Casablanca — centre</t>
  </si>
  <si>
    <t>moyen_haut</t>
  </si>
  <si>
    <t>Moyen-haut standing</t>
  </si>
  <si>
    <t>fes_oriental</t>
  </si>
  <si>
    <t>Fès / Oriental</t>
  </si>
  <si>
    <t>touristique</t>
  </si>
  <si>
    <t>Touristique / hôtelier</t>
  </si>
  <si>
    <t>rabat_centre</t>
  </si>
  <si>
    <t>Rabat — centre</t>
  </si>
  <si>
    <t>intermediaire</t>
  </si>
  <si>
    <t>Logement intermédiaire</t>
  </si>
  <si>
    <t>casa_peripherie</t>
  </si>
  <si>
    <t>Casablanca — périphérie</t>
  </si>
  <si>
    <t>rabat_peripherie</t>
  </si>
  <si>
    <t>Rabat — périphérie</t>
  </si>
  <si>
    <t>regions_interieures</t>
  </si>
  <si>
    <t>Régions intérieures</t>
  </si>
  <si>
    <t>Critères de notation (37 dans la v5.0.0 — jusqu'à 60 lignes)</t>
  </si>
  <si>
    <t>Ajouter un critère = compléter une ligne + ses barèmes (P_Baremes) + sa clé dans Saisie. Poids du domaine : somme = 100 %.</t>
  </si>
  <si>
    <t>Domaine</t>
  </si>
  <si>
    <t>Type</t>
  </si>
  <si>
    <t>Clé d'entrée</t>
  </si>
  <si>
    <t>Gate</t>
  </si>
  <si>
    <t>Seuil gate</t>
  </si>
  <si>
    <t>Jalon gate</t>
  </si>
  <si>
    <t>Famille</t>
  </si>
  <si>
    <t>Critique</t>
  </si>
  <si>
    <t>Unité</t>
  </si>
  <si>
    <t>D1C1</t>
  </si>
  <si>
    <t>Projets similaires livrés (5 ans)</t>
  </si>
  <si>
    <t>NUM</t>
  </si>
  <si>
    <t>promoter_completed_projects</t>
  </si>
  <si>
    <t>ECONOMIC</t>
  </si>
  <si>
    <t>ratio/%</t>
  </si>
  <si>
    <t>D1C2</t>
  </si>
  <si>
    <t>Gearing promoteur (dettes nettes / FP)</t>
  </si>
  <si>
    <t>promoter_gearing</t>
  </si>
  <si>
    <t>D1C3</t>
  </si>
  <si>
    <t>Gouvernance &amp; structure juridique</t>
  </si>
  <si>
    <t>QUAL</t>
  </si>
  <si>
    <t>governance_quality</t>
  </si>
  <si>
    <t>modalité</t>
  </si>
  <si>
    <t>D1C4</t>
  </si>
  <si>
    <t>Concentration mono-projet (CA projet / CA total)</t>
  </si>
  <si>
    <t>mono_project_concentration</t>
  </si>
  <si>
    <t>D1C5</t>
  </si>
  <si>
    <t>Typologie promoteur</t>
  </si>
  <si>
    <t>promoter_type</t>
  </si>
  <si>
    <t>D1C6</t>
  </si>
  <si>
    <t>Apport effectif (injecté / prévu)</t>
  </si>
  <si>
    <t>equity_injected_ratio</t>
  </si>
  <si>
    <t>SIGNATURE</t>
  </si>
  <si>
    <t>D2C1</t>
  </si>
  <si>
    <t>Foncier &amp; autorisations</t>
  </si>
  <si>
    <t>land_permits_status</t>
  </si>
  <si>
    <t>TIRAGE</t>
  </si>
  <si>
    <t>D2C2</t>
  </si>
  <si>
    <t>Marché &amp; positionnement</t>
  </si>
  <si>
    <t>market_positioning</t>
  </si>
  <si>
    <t>D2C3</t>
  </si>
  <si>
    <t>Complexité technique</t>
  </si>
  <si>
    <t>technical_complexity</t>
  </si>
  <si>
    <t>D2C4</t>
  </si>
  <si>
    <t>Avancement vs planning</t>
  </si>
  <si>
    <t>progress_vs_plan</t>
  </si>
  <si>
    <t>D2C5</t>
  </si>
  <si>
    <t>Litiges clients / SAV</t>
  </si>
  <si>
    <t>sav_litigation</t>
  </si>
  <si>
    <t>D2C6</t>
  </si>
  <si>
    <t>Sensibilité macro / subvention</t>
  </si>
  <si>
    <t>macro_sensitivity</t>
  </si>
  <si>
    <t>D2C7</t>
  </si>
  <si>
    <t>Coût foncier / CA</t>
  </si>
  <si>
    <t>land_cost_ratio</t>
  </si>
  <si>
    <t>D2C8</t>
  </si>
  <si>
    <t>Chaîne d'autorisations (complétude)</t>
  </si>
  <si>
    <t>authorization_completeness_pct</t>
  </si>
  <si>
    <t>%</t>
  </si>
  <si>
    <t>D2C9</t>
  </si>
  <si>
    <t>Tension du marché régional</t>
  </si>
  <si>
    <t>regional_market_tension</t>
  </si>
  <si>
    <t>D2C10</t>
  </si>
  <si>
    <t>Entreprise de travaux et garanties de marché</t>
  </si>
  <si>
    <t>contractor_quality</t>
  </si>
  <si>
    <t>D2C11</t>
  </si>
  <si>
    <t>Équipements exigés non budgétés (% du coût)</t>
  </si>
  <si>
    <t>equipment_unbudgeted_pct</t>
  </si>
  <si>
    <t>D2C12</t>
  </si>
  <si>
    <t>Autonomie du périmètre financé (tranche)</t>
  </si>
  <si>
    <t>tranche_dependency</t>
  </si>
  <si>
    <t>D3C1</t>
  </si>
  <si>
    <t>Préventes sécurisées (encaissées / CA)</t>
  </si>
  <si>
    <t>pre_sale_rate</t>
  </si>
  <si>
    <t>D3C2</t>
  </si>
  <si>
    <t>Ventes vs planning</t>
  </si>
  <si>
    <t>sales_vs_plan</t>
  </si>
  <si>
    <t>D3C3</t>
  </si>
  <si>
    <t>DSO (jours)</t>
  </si>
  <si>
    <t>dso_days</t>
  </si>
  <si>
    <t>D3C4</t>
  </si>
  <si>
    <t>Cash coverage (cash / échéances)</t>
  </si>
  <si>
    <t>cash_coverage</t>
  </si>
  <si>
    <t>D3C5</t>
  </si>
  <si>
    <t>Impasse brute</t>
  </si>
  <si>
    <t>funding_gap_pct</t>
  </si>
  <si>
    <t>D3C6</t>
  </si>
  <si>
    <t>Rotation stock (mois)</t>
  </si>
  <si>
    <t>stock_rotation_months</t>
  </si>
  <si>
    <t>D3C7</t>
  </si>
  <si>
    <t>Marge brute stressée (prix -10%)</t>
  </si>
  <si>
    <t>stressed_margin_pct</t>
  </si>
  <si>
    <t>D3C8</t>
  </si>
  <si>
    <t>Ventes sécurisées (financement acquéreur)</t>
  </si>
  <si>
    <t>secured_sales_rate</t>
  </si>
  <si>
    <t>D3C9</t>
  </si>
  <si>
    <t>Part du CA en produits à écoulement lent</t>
  </si>
  <si>
    <t>slow_liquidity_share_pct</t>
  </si>
  <si>
    <t>D3C10</t>
  </si>
  <si>
    <t>Taux de désistement des réservations</t>
  </si>
  <si>
    <t>cancellation_rate_pct</t>
  </si>
  <si>
    <t>D4C1</t>
  </si>
  <si>
    <t>Marge brute (CA - coûts directs)/CA</t>
  </si>
  <si>
    <t>gross_margin_pct</t>
  </si>
  <si>
    <t>D4C2</t>
  </si>
  <si>
    <t>LTC (dette / coût total)</t>
  </si>
  <si>
    <t>ltc</t>
  </si>
  <si>
    <t>D4C3</t>
  </si>
  <si>
    <t>LTV stressée (dette / valeur×0,90)</t>
  </si>
  <si>
    <t>ltv_stressed</t>
  </si>
  <si>
    <t>GUARANTEE</t>
  </si>
  <si>
    <t>D4C4</t>
  </si>
  <si>
    <t>Couverture garanties réalisable</t>
  </si>
  <si>
    <t>guarantee_coverage</t>
  </si>
  <si>
    <t>D4C5</t>
  </si>
  <si>
    <t>Rang bancaire 1er rang</t>
  </si>
  <si>
    <t>first_rank</t>
  </si>
  <si>
    <t>D4C6</t>
  </si>
  <si>
    <t>Interest coverage (EBITDA / charges fin.)</t>
  </si>
  <si>
    <t>interest_coverage</t>
  </si>
  <si>
    <t>D4C7</t>
  </si>
  <si>
    <t>Quotité de désengagement vs équilibre</t>
  </si>
  <si>
    <t>release_quotity_gap_pts</t>
  </si>
  <si>
    <t>pts</t>
  </si>
  <si>
    <t>D4C8</t>
  </si>
  <si>
    <t>Déblocages vs avancement certifié</t>
  </si>
  <si>
    <t>drawdown_vs_progress_pct</t>
  </si>
  <si>
    <t>D4C9</t>
  </si>
  <si>
    <t>Dépassement du coût à terminaison</t>
  </si>
  <si>
    <t>cost_overrun_pct</t>
  </si>
  <si>
    <t>Barèmes de notation</t>
  </si>
  <si>
    <t>PLAGE : borne basse incluse (≥ Min), borne haute exclue (&lt; Max) ; cellule vide = illimité. MODALITE : valeur exacte saisie. Note de 1 à 10.</t>
  </si>
  <si>
    <t>Critère</t>
  </si>
  <si>
    <t>Valeur (modalité)</t>
  </si>
  <si>
    <t>Min (≥)</t>
  </si>
  <si>
    <t>Max (&lt;)</t>
  </si>
  <si>
    <t>Ordre</t>
  </si>
  <si>
    <t>Note</t>
  </si>
  <si>
    <t>PLAGE</t>
  </si>
  <si>
    <t>&lt; 1 (critique)</t>
  </si>
  <si>
    <t>1 à &lt; 3 (vigilance)</t>
  </si>
  <si>
    <t>≥ 3 (favorable)</t>
  </si>
  <si>
    <t>&lt; 100 (favorable)</t>
  </si>
  <si>
    <t>100 à &lt; 150 (vigilance)</t>
  </si>
  <si>
    <t>≥ 150 (critique)</t>
  </si>
  <si>
    <t>MODALITE</t>
  </si>
  <si>
    <t>opaque</t>
  </si>
  <si>
    <t>Opaque</t>
  </si>
  <si>
    <t>partielle</t>
  </si>
  <si>
    <t>Partielle</t>
  </si>
  <si>
    <t>claire</t>
  </si>
  <si>
    <t>Claire / structurée</t>
  </si>
  <si>
    <t>&lt; 40 (favorable)</t>
  </si>
  <si>
    <t>40 à &lt; 60 (vigilance)</t>
  </si>
  <si>
    <t>≥ 60 (critique)</t>
  </si>
  <si>
    <t>opportuniste</t>
  </si>
  <si>
    <t>Opportuniste</t>
  </si>
  <si>
    <t>regional</t>
  </si>
  <si>
    <t>Régional</t>
  </si>
  <si>
    <t>structure</t>
  </si>
  <si>
    <t>Structuré</t>
  </si>
  <si>
    <t>&lt; 80 (critique)</t>
  </si>
  <si>
    <t>80 à &lt; 100 (vigilance)</t>
  </si>
  <si>
    <t>≥ 100 (favorable)</t>
  </si>
  <si>
    <t>absentes</t>
  </si>
  <si>
    <t>Titre non purgé / autorisations absentes</t>
  </si>
  <si>
    <t>partielles</t>
  </si>
  <si>
    <t>Partielles</t>
  </si>
  <si>
    <t>definitives</t>
  </si>
  <si>
    <t>Titre purgé + autorisations définitives</t>
  </si>
  <si>
    <t>sur_positionne</t>
  </si>
  <si>
    <t>Sur-positionné / sur-offre</t>
  </si>
  <si>
    <t>moyen</t>
  </si>
  <si>
    <t>Correct</t>
  </si>
  <si>
    <t>aligne</t>
  </si>
  <si>
    <t>Aligné / forte demande</t>
  </si>
  <si>
    <t>elevee</t>
  </si>
  <si>
    <t>Élevée</t>
  </si>
  <si>
    <t>moyenne</t>
  </si>
  <si>
    <t>Moyenne</t>
  </si>
  <si>
    <t>standard</t>
  </si>
  <si>
    <t>Standard</t>
  </si>
  <si>
    <t>eleve</t>
  </si>
  <si>
    <t>Élevé</t>
  </si>
  <si>
    <t>Moyen</t>
  </si>
  <si>
    <t>faible</t>
  </si>
  <si>
    <t>Faible</t>
  </si>
  <si>
    <t>&lt; 25 (favorable)</t>
  </si>
  <si>
    <t>25 à &lt; 35 (vigilance)</t>
  </si>
  <si>
    <t>≥ 35 (critique)</t>
  </si>
  <si>
    <t>&lt; 50 % (critique)</t>
  </si>
  <si>
    <t>50 à &lt; 100 % (vigilance)</t>
  </si>
  <si>
    <t>≥ 100 % (favorable)</t>
  </si>
  <si>
    <t>surstock</t>
  </si>
  <si>
    <t>Marché en surstock (écoulement lent, prix sous pression)</t>
  </si>
  <si>
    <t>equilibre</t>
  </si>
  <si>
    <t>Marché équilibré</t>
  </si>
  <si>
    <t>porteur</t>
  </si>
  <si>
    <t>Marché porteur (demande soutenue)</t>
  </si>
  <si>
    <t>non_qualifiee</t>
  </si>
  <si>
    <t>Entreprise non qualifiée, travaux en régie ou promoteur-constructeur sans structure</t>
  </si>
  <si>
    <t>qualifiee</t>
  </si>
  <si>
    <t>Entreprise qualifiée, garanties de marché partielles</t>
  </si>
  <si>
    <t>qualifiee_garantie</t>
  </si>
  <si>
    <t>Entreprise qualifiée et classée, marché forfaitaire avec caution de bonne exécution et retenue de garantie</t>
  </si>
  <si>
    <t>0 % — tout est budgété (favorable)</t>
  </si>
  <si>
    <t>&gt; 0 à &lt; 3 % (vigilance)</t>
  </si>
  <si>
    <t>≥ 3 % (critique)</t>
  </si>
  <si>
    <t>dependante_non_financee</t>
  </si>
  <si>
    <t>Tranche dépendante d'ouvrages communs non financés</t>
  </si>
  <si>
    <t>dependante_financee</t>
  </si>
  <si>
    <t>Tranche dépendante d'ouvrages communs financés ou réalisés</t>
  </si>
  <si>
    <t>autonome</t>
  </si>
  <si>
    <t>Tranche autonome (accès, VRD et raccordements propres)</t>
  </si>
  <si>
    <t>programme_entier</t>
  </si>
  <si>
    <t>Financement du programme entier</t>
  </si>
  <si>
    <t>&lt; 25 (critique)</t>
  </si>
  <si>
    <t>25 à &lt; 40 (vigilance)</t>
  </si>
  <si>
    <t>≥ 40 (favorable)</t>
  </si>
  <si>
    <t>&lt; 120 (favorable)</t>
  </si>
  <si>
    <t>120 à &lt; 240 (vigilance)</t>
  </si>
  <si>
    <t>≥ 240 (critique)</t>
  </si>
  <si>
    <t>1 à &lt; 1,2 (vigilance)</t>
  </si>
  <si>
    <t>≥ 1,2 (favorable)</t>
  </si>
  <si>
    <t>≤ 0 — aucune impasse (favorable)</t>
  </si>
  <si>
    <t>&gt; 0 à &lt; 10 (vigilance)</t>
  </si>
  <si>
    <t>≥ 10 (critique)</t>
  </si>
  <si>
    <t>&lt; 18 (favorable)</t>
  </si>
  <si>
    <t>18 à &lt; 30 (vigilance)</t>
  </si>
  <si>
    <t>≥ 30 (critique)</t>
  </si>
  <si>
    <t>&lt; 10 (critique)</t>
  </si>
  <si>
    <t>10 à &lt; 15 (vigilance)</t>
  </si>
  <si>
    <t>≥ 15 (favorable)</t>
  </si>
  <si>
    <t>&lt; 25 % (critique)</t>
  </si>
  <si>
    <t>25 à &lt; 40 % (vigilance)</t>
  </si>
  <si>
    <t>≥ 40 % (favorable)</t>
  </si>
  <si>
    <t>&lt; 20 % (favorable)</t>
  </si>
  <si>
    <t>20 à &lt; 40 % (vigilance)</t>
  </si>
  <si>
    <t>≥ 40 % (critique)</t>
  </si>
  <si>
    <t>&lt; 10 % (favorable)</t>
  </si>
  <si>
    <t>10 à &lt; 20 % (vigilance)</t>
  </si>
  <si>
    <t>≥ 20 % (critique)</t>
  </si>
  <si>
    <t>&lt; 15 (critique)</t>
  </si>
  <si>
    <t>15 à &lt; 25 (vigilance)</t>
  </si>
  <si>
    <t>≥ 25 (favorable)</t>
  </si>
  <si>
    <t>&lt; 60 (favorable)</t>
  </si>
  <si>
    <t>60 à &lt; 80 (vigilance)</t>
  </si>
  <si>
    <t>≥ 80 (critique)</t>
  </si>
  <si>
    <t>&lt; 70 (favorable)</t>
  </si>
  <si>
    <t>70 à &lt; 85 (vigilance)</t>
  </si>
  <si>
    <t>≥ 85 (critique)</t>
  </si>
  <si>
    <t>&lt; 90 (critique)</t>
  </si>
  <si>
    <t>90 à &lt; 120 (vigilance)</t>
  </si>
  <si>
    <t>≥ 120 (favorable)</t>
  </si>
  <si>
    <t>non</t>
  </si>
  <si>
    <t>Non 1er rang</t>
  </si>
  <si>
    <t>oui</t>
  </si>
  <si>
    <t>1er rang</t>
  </si>
  <si>
    <t>&lt; 1,5 (critique)</t>
  </si>
  <si>
    <t>1,5 à &lt; 3 (vigilance)</t>
  </si>
  <si>
    <t>&lt; −10 pts (critique)</t>
  </si>
  <si>
    <t>−10 à &lt; 0 pt (vigilance)</t>
  </si>
  <si>
    <t>≥ 0 pt (favorable)</t>
  </si>
  <si>
    <t>&lt; 105 % — en phase (favorable)</t>
  </si>
  <si>
    <t>105 à &lt; 115 % (vigilance)</t>
  </si>
  <si>
    <t>≥ 115 % — tirages en avance (critique)</t>
  </si>
  <si>
    <t>&lt; 5 % (favorable)</t>
  </si>
  <si>
    <t>5 à &lt; 10 % (vigilance)</t>
  </si>
  <si>
    <t>≥ 10 % (critique)</t>
  </si>
  <si>
    <t>Couche D5 — alertes (red flags)</t>
  </si>
  <si>
    <t>Règle simple : Clé / Opérateur / Valeur. Opérateurs : isTrue, isFalse, eq, neq, gt, gte, lt, lte. BLOCKING = souffrance automatique (malus 0).</t>
  </si>
  <si>
    <t>Sévérité</t>
  </si>
  <si>
    <t>Malus</t>
  </si>
  <si>
    <t>Domaines</t>
  </si>
  <si>
    <t>Opérateur</t>
  </si>
  <si>
    <t>Valeur réf.</t>
  </si>
  <si>
    <t>Comité</t>
  </si>
  <si>
    <t>Effet</t>
  </si>
  <si>
    <t>Référence réglementaire / interne</t>
  </si>
  <si>
    <t>RF_ACQUEREURS_NON_FINANCES</t>
  </si>
  <si>
    <t>Financement acquéreur majoritairement non sécurisé</t>
  </si>
  <si>
    <t>MEDIUM</t>
  </si>
  <si>
    <t>D3,D5</t>
  </si>
  <si>
    <t>buyers_financing_at_risk</t>
  </si>
  <si>
    <t>isTrue</t>
  </si>
  <si>
    <t>HYPOTHESIS</t>
  </si>
  <si>
    <t>Liquidité des ventes — solvabilité acquéreur</t>
  </si>
  <si>
    <t>RF_AUTORISATION_TIRAGE</t>
  </si>
  <si>
    <t>Autorisation indispensable aux travaux non levée</t>
  </si>
  <si>
    <t>HIGH</t>
  </si>
  <si>
    <t>D2,D5</t>
  </si>
  <si>
    <t>works_authorization_blocked</t>
  </si>
  <si>
    <t>SURVEILLANCE</t>
  </si>
  <si>
    <t>Loi 25-90 (lotissements) ; loi 12-90 (urbanisme) ; ANCFCC</t>
  </si>
  <si>
    <t>RF_CASH_LT_ECH</t>
  </si>
  <si>
    <t>Cash coverage &lt; 1,0x</t>
  </si>
  <si>
    <t>lt</t>
  </si>
  <si>
    <t>RF_COMPOSANTE_SANS_PRENEUR</t>
  </si>
  <si>
    <t>Composante commerciale ou hôtelière sans preneur engagé</t>
  </si>
  <si>
    <t>component_exit_unsecured</t>
  </si>
  <si>
    <t>Programme mixte — liquidité des composantes non résidentielles</t>
  </si>
  <si>
    <t>RF_DIVISION_RISQUES</t>
  </si>
  <si>
    <t>Limite de division des risques dépassée</t>
  </si>
  <si>
    <t>D5</t>
  </si>
  <si>
    <t>division_limit_breach</t>
  </si>
  <si>
    <t>REGULATORY</t>
  </si>
  <si>
    <t>Division des risques — limite par contrepartie / groupe d'intérêt</t>
  </si>
  <si>
    <t>RF_EQUIPEMENT_RECEPTION</t>
  </si>
  <si>
    <t>Équipement exigé en retard (conditionne la réception)</t>
  </si>
  <si>
    <t>equipment_delivery_at_risk</t>
  </si>
  <si>
    <t>Cahier des charges / convention avec la commune ; réception et permis d'habiter</t>
  </si>
  <si>
    <t>RF_FP_NEG</t>
  </si>
  <si>
    <t>Fonds propres négatifs</t>
  </si>
  <si>
    <t>D4,D5</t>
  </si>
  <si>
    <t>equity_negative</t>
  </si>
  <si>
    <t>RF_IMPASSE_PERSIST</t>
  </si>
  <si>
    <t>Impasse de trésorerie persistante</t>
  </si>
  <si>
    <t>funding_gap_persistent</t>
  </si>
  <si>
    <t>RF_IMPAYE_90J</t>
  </si>
  <si>
    <t>Impayé ≥ 90 jours (souffrance automatique)</t>
  </si>
  <si>
    <t>BLOCKING</t>
  </si>
  <si>
    <t>gte</t>
  </si>
  <si>
    <t>1/W art.5 ; art.34</t>
  </si>
  <si>
    <t>RF_LITIGE</t>
  </si>
  <si>
    <t>Action en justice / contentieux (CTX)</t>
  </si>
  <si>
    <t>legal_exposure</t>
  </si>
  <si>
    <t>eq</t>
  </si>
  <si>
    <t>litigation</t>
  </si>
  <si>
    <t>1/W art.12.8</t>
  </si>
  <si>
    <t>RF_MAINLEVEE_SOUS_TARIFEE</t>
  </si>
  <si>
    <t>Prix de mainlevée sous-tarifé</t>
  </si>
  <si>
    <t>release_underpriced</t>
  </si>
  <si>
    <t>Politique interne — mainlevées partielles</t>
  </si>
  <si>
    <t>RF_NON_1ER_RANG</t>
  </si>
  <si>
    <t>Garantie non 1er rang</t>
  </si>
  <si>
    <t>RF_PLAN_TIRAGE_RETARD</t>
  </si>
  <si>
    <t>Plan de tirage en retard sur le calendrier</t>
  </si>
  <si>
    <t>drawdown_schedule_late</t>
  </si>
  <si>
    <t>Planning des déblocages du business plan</t>
  </si>
  <si>
    <t>RF_PROJET_ARRET_12M</t>
  </si>
  <si>
    <t>Projet à l'arrêt ≥ 12 mois (souffrance automatique)</t>
  </si>
  <si>
    <t>project_stopped_months</t>
  </si>
  <si>
    <t>1/W art.12.7</t>
  </si>
  <si>
    <t>RF_RESTRUCT</t>
  </si>
  <si>
    <t>Première restructuration</t>
  </si>
  <si>
    <t>restructured</t>
  </si>
  <si>
    <t>yes</t>
  </si>
  <si>
    <t>1/W art.17-31</t>
  </si>
  <si>
    <t>RF_RETARD_6M</t>
  </si>
  <si>
    <t>Retard chantier ≥ 6 mois</t>
  </si>
  <si>
    <t>construction_delay_months</t>
  </si>
  <si>
    <t>RF_TIRAGE_AVANCE</t>
  </si>
  <si>
    <t>Déblocages en avance sur l'avancement des travaux</t>
  </si>
  <si>
    <t>drawdown_ahead_of_works</t>
  </si>
  <si>
    <t>Politique de crédit — déblocage sur situation de travaux visée</t>
  </si>
  <si>
    <t>RF_TRANCHE_DEPENDANTE</t>
  </si>
  <si>
    <t>Tranche financée dépendante d'ouvrages communs non financés</t>
  </si>
  <si>
    <t>Financement par tranche — ouvrages communs</t>
  </si>
  <si>
    <t>Référentiels métier (pratique marocaine)</t>
  </si>
  <si>
    <t>Équivalents des référentiels administrables de l'application. Modifiables ici sans macro.</t>
  </si>
  <si>
    <t>Chaîne d'autorisations</t>
  </si>
  <si>
    <t>Pièce</t>
  </si>
  <si>
    <t>Jalon</t>
  </si>
  <si>
    <t>Lotissement</t>
  </si>
  <si>
    <t>Construction</t>
  </si>
  <si>
    <t>Mixte</t>
  </si>
  <si>
    <t>Bloque travaux</t>
  </si>
  <si>
    <t>Bloque livraison</t>
  </si>
  <si>
    <t>Référence</t>
  </si>
  <si>
    <t>note_renseignement</t>
  </si>
  <si>
    <t>Note de renseignements urbanistiques</t>
  </si>
  <si>
    <t>ETUDE</t>
  </si>
  <si>
    <t>Urbanisme — agence urbaine</t>
  </si>
  <si>
    <t>titre_foncier_purge</t>
  </si>
  <si>
    <t>Titre foncier purgé (sans inscription contraignante)</t>
  </si>
  <si>
    <t>OCTROI</t>
  </si>
  <si>
    <t>ANCFCC — conservation foncière</t>
  </si>
  <si>
    <t>autorisation_lotir</t>
  </si>
  <si>
    <t>Autorisation de lotir</t>
  </si>
  <si>
    <t>Loi 25-90 relative aux lotissements</t>
  </si>
  <si>
    <t>permis_construire</t>
  </si>
  <si>
    <t>Permis de construire</t>
  </si>
  <si>
    <t>Loi 12-90 relative à l'urbanisme</t>
  </si>
  <si>
    <t>autorisation_morcellement</t>
  </si>
  <si>
    <t>Autorisation de morcellement / éclatement du titre</t>
  </si>
  <si>
    <t>ANCFCC — morcellement du titre mère</t>
  </si>
  <si>
    <t>reception_provisoire</t>
  </si>
  <si>
    <t>Réception provisoire des travaux</t>
  </si>
  <si>
    <t>permis_habiter</t>
  </si>
  <si>
    <t>Permis d'habiter</t>
  </si>
  <si>
    <t>Loi 12-90</t>
  </si>
  <si>
    <t>certificat_conformite</t>
  </si>
  <si>
    <t>Certificat de conformité</t>
  </si>
  <si>
    <t>reception_definitive</t>
  </si>
  <si>
    <t>Réception définitive</t>
  </si>
  <si>
    <t>Financement de l'acquéreur</t>
  </si>
  <si>
    <t>Facteur de sécurisation</t>
  </si>
  <si>
    <t>fonds_propres</t>
  </si>
  <si>
    <t>Autofinancement (fonds propres acquéreur)</t>
  </si>
  <si>
    <t>credit_debloque</t>
  </si>
  <si>
    <t>Crédit acquéreur débloqué</t>
  </si>
  <si>
    <t>credit_accorde</t>
  </si>
  <si>
    <t>Crédit accordé (accord de principe / offre)</t>
  </si>
  <si>
    <t>credit_en_cours</t>
  </si>
  <si>
    <t>Demande de crédit en cours d'instruction</t>
  </si>
  <si>
    <t>credit_refuse</t>
  </si>
  <si>
    <t>Crédit refusé</t>
  </si>
  <si>
    <t>non_instruit</t>
  </si>
  <si>
    <t>Financement non instruit</t>
  </si>
  <si>
    <t>Natures de concours (information — contrôle de tirage)</t>
  </si>
  <si>
    <t>Situation de travaux visée requise</t>
  </si>
  <si>
    <t>avance_foncier</t>
  </si>
  <si>
    <t>Avance sur acquisition du foncier</t>
  </si>
  <si>
    <t>credit_accompagnement</t>
  </si>
  <si>
    <t>Crédit d'accompagnement / de construction</t>
  </si>
  <si>
    <t>credit_amenagement</t>
  </si>
  <si>
    <t>Crédit d'aménagement (lotissement / VRD)</t>
  </si>
  <si>
    <t>credit_in_fine</t>
  </si>
  <si>
    <t>Crédit in fine (remboursement du principal au terme)</t>
  </si>
  <si>
    <t>caution_marche</t>
  </si>
  <si>
    <t>Caution / engagement par signature</t>
  </si>
  <si>
    <t>Modalités des données d'alerte (libellé affiché → code)</t>
  </si>
  <si>
    <t>Clé</t>
  </si>
  <si>
    <t>no</t>
  </si>
  <si>
    <t>Oui — créance restructurée</t>
  </si>
  <si>
    <t>clear</t>
  </si>
  <si>
    <t>Aucun litige</t>
  </si>
  <si>
    <t>watch</t>
  </si>
  <si>
    <t>Sous surveillance</t>
  </si>
  <si>
    <t>Litige en cours</t>
  </si>
  <si>
    <t>Dispositifs d'aide à l'acquéreur (information)</t>
  </si>
  <si>
    <t>aide_directe_logement</t>
  </si>
  <si>
    <t>Aide directe au logement</t>
  </si>
  <si>
    <t>fogarim</t>
  </si>
  <si>
    <t>FOGARIM (garantie revenus irréguliers)</t>
  </si>
  <si>
    <t>damane_assakane</t>
  </si>
  <si>
    <t>Damane Assakane</t>
  </si>
  <si>
    <t>aucun</t>
  </si>
  <si>
    <t>Aucun dispositif</t>
  </si>
  <si>
    <t>Saisie du dossier</t>
  </si>
  <si>
    <t>Renseignez les cellules jaunes (listes déroulantes en clair). Laissez VIDE une donnée inconnue : elle n'améliore jamais le résultat. La colonne « État » signale ce qui manque.</t>
  </si>
  <si>
    <t>Référence dossier</t>
  </si>
  <si>
    <t>Nom du projet</t>
  </si>
  <si>
    <t>Classe réglementaire BAM</t>
  </si>
  <si>
    <t>Phase du projet (challenger)</t>
  </si>
  <si>
    <t>Résultat en direct</t>
  </si>
  <si>
    <t>Score final (0–100)</t>
  </si>
  <si>
    <t>Décision</t>
  </si>
  <si>
    <t>Classe interne</t>
  </si>
  <si>
    <t>Critères renseignés</t>
  </si>
  <si>
    <t>Données décisionnelles manquantes</t>
  </si>
  <si>
    <t>Valeurs à vérifier (%)</t>
  </si>
  <si>
    <t>→ Ouvrir la fiche de résultat</t>
  </si>
  <si>
    <t>Section</t>
  </si>
  <si>
    <t>Clé technique</t>
  </si>
  <si>
    <t>Donnée</t>
  </si>
  <si>
    <t>Votre saisie</t>
  </si>
  <si>
    <t>Calculé (Calculateurs)</t>
  </si>
  <si>
    <t>Valeur utilisée</t>
  </si>
  <si>
    <t>Unité / aide</t>
  </si>
  <si>
    <t>État</t>
  </si>
  <si>
    <t>D1 — Sponsor &amp; Gouvernance</t>
  </si>
  <si>
    <t>nombre de projets (ex. 8)</t>
  </si>
  <si>
    <t>% (dettes / fonds propres, ex. 85)</t>
  </si>
  <si>
    <t>choisir dans la liste</t>
  </si>
  <si>
    <t>% (ex. 35)</t>
  </si>
  <si>
    <t>% (ex. 100)</t>
  </si>
  <si>
    <t>D2 — Qualité intrinsèque du projet</t>
  </si>
  <si>
    <t>% (ex. 22)</t>
  </si>
  <si>
    <t>% — calculé par l'onglet Calculateurs ; votre saisie prime</t>
  </si>
  <si>
    <t>% du coût — calculé par l'onglet Calculateurs ; votre saisie prime</t>
  </si>
  <si>
    <t>D3 — Commercial &amp; Cash-flow</t>
  </si>
  <si>
    <t>% (ex. 62)</t>
  </si>
  <si>
    <t>jours (ex. 90)</t>
  </si>
  <si>
    <t>ratio (ex. 1,2)</t>
  </si>
  <si>
    <t>% (ex. 0)</t>
  </si>
  <si>
    <t>mois (ex. 16)</t>
  </si>
  <si>
    <t>% (ex. 18)</t>
  </si>
  <si>
    <t>% du CA — calculé par l'onglet Calculateurs ; votre saisie prime</t>
  </si>
  <si>
    <t>D4 — Structuration financière &amp; LGD</t>
  </si>
  <si>
    <t>% (ex. 27)</t>
  </si>
  <si>
    <t>% (ex. 61)</t>
  </si>
  <si>
    <t>% (ex. 65)</t>
  </si>
  <si>
    <t>% (ex. 125)</t>
  </si>
  <si>
    <t>ratio (ex. 3,2)</t>
  </si>
  <si>
    <t>points — calculé par l'onglet Calculateurs ; votre saisie prime</t>
  </si>
  <si>
    <t>Alertes D5</t>
  </si>
  <si>
    <t>Retard de paiement (jours)</t>
  </si>
  <si>
    <t>jours</t>
  </si>
  <si>
    <t>Retard chantier (mois)</t>
  </si>
  <si>
    <t>mois</t>
  </si>
  <si>
    <t>Arrêt du projet (mois)</t>
  </si>
  <si>
    <t>mois — calculé par l'onglet Calculateurs ; votre saisie prime</t>
  </si>
  <si>
    <t>Créance restructurée</t>
  </si>
  <si>
    <t>Exposition juridique</t>
  </si>
  <si>
    <t>BOOL</t>
  </si>
  <si>
    <t>Oui / Non</t>
  </si>
  <si>
    <t>Autorisation de travaux bloquante</t>
  </si>
  <si>
    <t>Oui / Non — calculé par l'onglet Calculateurs ; votre saisie prime</t>
  </si>
  <si>
    <t>Financement des acquéreurs à risque</t>
  </si>
  <si>
    <t>Mainlevée sous-tarifée</t>
  </si>
  <si>
    <t>Déblocages en avance sur les travaux</t>
  </si>
  <si>
    <t>Plan de tirage en retard</t>
  </si>
  <si>
    <t>Équipement exigé en retard (réception)</t>
  </si>
  <si>
    <t>Composante commerciale / hôtelière sans preneur</t>
  </si>
  <si>
    <t>EXEMPLE</t>
  </si>
  <si>
    <t>Dossier d'exemple — à remplacer (ruban « Scoring PI » › Nouveau dossier)</t>
  </si>
  <si>
    <t>Calculateurs — alimentent automatiquement les données dérivées (Saisie, colonne « Valeur calculée »)</t>
  </si>
  <si>
    <t>Une valeur saisie directement dans l'onglet Saisie prime toujours sur ces calculs.</t>
  </si>
  <si>
    <t>A. Chaîne d'autorisations</t>
  </si>
  <si>
    <t>Nature du programme</t>
  </si>
  <si>
    <t>Exigible</t>
  </si>
  <si>
    <t>Obtenue</t>
  </si>
  <si>
    <t>Manquante</t>
  </si>
  <si>
    <t>Complétude de la chaîne (%)</t>
  </si>
  <si>
    <t>Verrou de travaux (pièce indispensable manquante)</t>
  </si>
  <si>
    <t>Saisie de la chaîne effectuée ?</t>
  </si>
  <si>
    <t>B. Ventes sécurisées (financement de l'acquéreur)</t>
  </si>
  <si>
    <t>Valeur commercialisable totale (MAD)</t>
  </si>
  <si>
    <t>vide = somme des prix des lots ci-dessous</t>
  </si>
  <si>
    <t>Lot</t>
  </si>
  <si>
    <t>Statut de financement acquéreur</t>
  </si>
  <si>
    <t>Prix (MAD)</t>
  </si>
  <si>
    <t>Engagé juridiquement</t>
  </si>
  <si>
    <t>Facteur</t>
  </si>
  <si>
    <t>Renseigné</t>
  </si>
  <si>
    <t>À risque</t>
  </si>
  <si>
    <t>Chiffre d'affaires engagé (MAD)</t>
  </si>
  <si>
    <t>Chiffre d'affaires sécurisé (MAD)</t>
  </si>
  <si>
    <t>Taux de ventes sécurisées (%)</t>
  </si>
  <si>
    <t>Financement acquéreurs à risque (≥ 40 % des lots renseignés)</t>
  </si>
  <si>
    <t>C. Mainlevée partielle et prix de désengagement</t>
  </si>
  <si>
    <t>Quotité de désengagement convenue (%)</t>
  </si>
  <si>
    <t>Encours de crédit adossé au programme (MAD)</t>
  </si>
  <si>
    <t>Quotité d'équilibre (%) = encours / valeur</t>
  </si>
  <si>
    <t>Écart quotité appliquée − équilibre (points)</t>
  </si>
  <si>
    <t>Quotité sous-tarifée ?</t>
  </si>
  <si>
    <t>Quotité recommandée (équilibre + 10 %)</t>
  </si>
  <si>
    <t>D. Division des risques</t>
  </si>
  <si>
    <t>Fonds propres prudentiels de l'établissement (MAD)</t>
  </si>
  <si>
    <t>Limite par contrepartie / groupe (% des fonds propres)</t>
  </si>
  <si>
    <t>Seuil « grand risque » (% des fonds propres)</t>
  </si>
  <si>
    <t>Concours</t>
  </si>
  <si>
    <t>Encours tiré (MAD)</t>
  </si>
  <si>
    <t>Non tiré (MAD)</t>
  </si>
  <si>
    <t>CCF (0–1)</t>
  </si>
  <si>
    <t>Exposition</t>
  </si>
  <si>
    <t>Exposition agrégée (MAD)</t>
  </si>
  <si>
    <t>Limite (MAD)</t>
  </si>
  <si>
    <t>Ratio exposition / fonds propres (%)</t>
  </si>
  <si>
    <t>Marge disponible avant limite (MAD)</t>
  </si>
  <si>
    <t>Limite dépassée ?</t>
  </si>
  <si>
    <t>Grand risque ?</t>
  </si>
  <si>
    <t>E. Arrêt de chantier</t>
  </si>
  <si>
    <t>Date de début de l'arrêt en cours</t>
  </si>
  <si>
    <t>Date de reprise effective (vide si toujours à l'arrêt)</t>
  </si>
  <si>
    <t>Date d'évaluation (vide = aujourd'hui)</t>
  </si>
  <si>
    <t>Durée de l'arrêt en cours (mois)</t>
  </si>
  <si>
    <t>≥ 12 mois : alerte bloquante « projet à l'arrêt » (souffrance automatique). Un arrêt terminé n'alimente plus la donnée.</t>
  </si>
  <si>
    <t>F. Déblocages selon l'avancement et le calendrier (v5)</t>
  </si>
  <si>
    <t>Montant autorisé des crédits de travaux (MAD)</t>
  </si>
  <si>
    <t>Cumul débloqué sur ces crédits (MAD)</t>
  </si>
  <si>
    <t>Avancement certifié (%) — situation visée, sinon tranches, sinon visite</t>
  </si>
  <si>
    <t>Déblocages vs avancement certifié (%)</t>
  </si>
  <si>
    <t>Tirages en avance sur les travaux ? (≥ 115 %)</t>
  </si>
  <si>
    <t>Date d'évaluation du plan de tirage (vide = aujourd'hui)</t>
  </si>
  <si>
    <t>Jalon du plan de tirage</t>
  </si>
  <si>
    <t>Date prévue</t>
  </si>
  <si>
    <t>Montant prévu (MAD)</t>
  </si>
  <si>
    <t>Débloqué (MAD)</t>
  </si>
  <si>
    <t>Prévu échu</t>
  </si>
  <si>
    <t>Débloqué retenu</t>
  </si>
  <si>
    <t>Montant prévu non débloqué à date (%)</t>
  </si>
  <si>
    <t>Plan de tirage en retard ? (≥ 25 %)</t>
  </si>
  <si>
    <t>G. Équipements exigés (mosquée, école, voirie…) (v5)</t>
  </si>
  <si>
    <t>Obligations déclarées</t>
  </si>
  <si>
    <t>vide = non déclarées : donnée absente (note plancher)</t>
  </si>
  <si>
    <t>Coût total du programme (MAD)</t>
  </si>
  <si>
    <t>Avancement du programme (%)</t>
  </si>
  <si>
    <t>Équipement</t>
  </si>
  <si>
    <t>Coût estimé (MAD)</t>
  </si>
  <si>
    <t>Financé par</t>
  </si>
  <si>
    <t>Budgété</t>
  </si>
  <si>
    <t>Conditionne la réception</t>
  </si>
  <si>
    <t>Échéance</t>
  </si>
  <si>
    <t>Avancement (%)</t>
  </si>
  <si>
    <t>Remis</t>
  </si>
  <si>
    <t>Non budgété</t>
  </si>
  <si>
    <t>Coût manquant</t>
  </si>
  <si>
    <t>En retard</t>
  </si>
  <si>
    <t>Équipements non budgétés à la charge du programme (% du coût)</t>
  </si>
  <si>
    <t>Équipement conditionnant la réception en retard ?</t>
  </si>
  <si>
    <t>en retard : échéance passée avant achèvement, ou retard de plus de 30 points sur le programme</t>
  </si>
  <si>
    <t>H. Programme mixte, désistements et coût à terminaison (v5)</t>
  </si>
  <si>
    <t>CA résidentiel : appartements, villas, terrains (MAD)</t>
  </si>
  <si>
    <t>CA commerces et bureaux (MAD)</t>
  </si>
  <si>
    <t>CA hôtelier (MAD)</t>
  </si>
  <si>
    <t>Part du CA à écoulement lent (%)</t>
  </si>
  <si>
    <t>Lots engagés : réservés, compromis, vendus, livrés</t>
  </si>
  <si>
    <t>Lots désistés</t>
  </si>
  <si>
    <t>Taux de désistement (%)</t>
  </si>
  <si>
    <t>Coût du budget initial (MAD)</t>
  </si>
  <si>
    <t>Coût à terminaison estimé (MAD)</t>
  </si>
  <si>
    <t>Dépassement du coût à terminaison (%)</t>
  </si>
  <si>
    <t>Périmètre : si la banque ne finance qu'une tranche, saisir ici les chiffres de cette seule tranche.</t>
  </si>
  <si>
    <t>Résultat du scoring</t>
  </si>
  <si>
    <t>PD proxy (indicative, non calibrée)</t>
  </si>
  <si>
    <t>Score économique S_éco (avant ajustement)</t>
  </si>
  <si>
    <t>Score ajusté S_adj = S_éco×(1+α+β)</t>
  </si>
  <si>
    <t>Malus cumulés D5 (points)</t>
  </si>
  <si>
    <t>Score après pénalités</t>
  </si>
  <si>
    <t>Coefficient réglementaire BAM</t>
  </si>
  <si>
    <t>Note économique (capacité de remboursement)</t>
  </si>
  <si>
    <t>Note de sûretés (perte en cas de défaut)</t>
  </si>
  <si>
    <t>α segment</t>
  </si>
  <si>
    <t>β zone</t>
  </si>
  <si>
    <t>Segment / zone hors référentiel</t>
  </si>
  <si>
    <t>Critère éliminatoire (gate) franchi</t>
  </si>
  <si>
    <t>Alerte bloquante (souffrance automatique)</t>
  </si>
  <si>
    <t>Défaut avéré (classe réglementaire)</t>
  </si>
  <si>
    <t>Dossier incomplet (donnée décisionnelle absente)</t>
  </si>
  <si>
    <t>Conditions (critères éliminatoires franchis)</t>
  </si>
  <si>
    <t>Alertes déclenchées / non exclues</t>
  </si>
  <si>
    <t>Retour en comité requis</t>
  </si>
  <si>
    <t>Classe bloquante (contentieux)</t>
  </si>
  <si>
    <t>(interne)</t>
  </si>
  <si>
    <t>Challengers (indicatifs — score officiel inchangé)</t>
  </si>
  <si>
    <t>Phase du projet</t>
  </si>
  <si>
    <t>Score éco. avec pondération de phase</t>
  </si>
  <si>
    <t>Écart vs score éco. officiel</t>
  </si>
  <si>
    <t>Score ajusté sans coefficients territoriaux</t>
  </si>
  <si>
    <t>Effet des coefficients segment / zone</t>
  </si>
  <si>
    <t>Scores par domaine</t>
  </si>
  <si>
    <t>Score /100</t>
  </si>
  <si>
    <t>Contribution</t>
  </si>
  <si>
    <t>Poids phase</t>
  </si>
  <si>
    <t>Contribution phase</t>
  </si>
  <si>
    <t>Détail par critère (explicabilité)</t>
  </si>
  <si>
    <t>Note /10</t>
  </si>
  <si>
    <t>Pondéré</t>
  </si>
  <si>
    <t>Gate franchi</t>
  </si>
  <si>
    <t>Donnée critique manquante</t>
  </si>
  <si>
    <t>Note plancher</t>
  </si>
  <si>
    <t>Nb correspondances</t>
  </si>
  <si>
    <t>Note brute</t>
  </si>
  <si>
    <t>Poids domaine</t>
  </si>
  <si>
    <t>Poids effectif</t>
  </si>
  <si>
    <t>Cumul manquantes</t>
  </si>
  <si>
    <t>Cumul conditions</t>
  </si>
  <si>
    <t>Libellés manquants</t>
  </si>
  <si>
    <t>Rang (lecture)</t>
  </si>
  <si>
    <t>Valeur en clair</t>
  </si>
  <si>
    <t>(clé additionnelle)</t>
  </si>
  <si>
    <t>Détail des alertes D5</t>
  </si>
  <si>
    <t>Déclenchée</t>
  </si>
  <si>
    <t>Non exclue (donnée absente)</t>
  </si>
  <si>
    <t>Malus appliqué</t>
  </si>
  <si>
    <t>Clé numérique manquante</t>
  </si>
  <si>
    <t>Cumul alertes</t>
  </si>
  <si>
    <t>Cumul libellés alertes</t>
  </si>
  <si>
    <t>Calcul pas à pas (lecture seule). La synthèse lisible est dans l'onglet Fiche.</t>
  </si>
  <si>
    <t>Calculé le</t>
  </si>
  <si>
    <t>Score final / 100</t>
  </si>
  <si>
    <t>Principaux éléments</t>
  </si>
  <si>
    <t>Segment · zone</t>
  </si>
  <si>
    <t>Note économique · note de sûretés</t>
  </si>
  <si>
    <t>Malus des alertes</t>
  </si>
  <si>
    <t>PD indicative (non calibrée)</t>
  </si>
  <si>
    <t>Conditions à lever</t>
  </si>
  <si>
    <t>Alertes déclenchées</t>
  </si>
  <si>
    <t>Score / 100</t>
  </si>
  <si>
    <t>Points d'attention — les 5 notes les plus basses</t>
  </si>
  <si>
    <t>Valeur retenue</t>
  </si>
  <si>
    <t>Note / 10</t>
  </si>
  <si>
    <t>Outil indicatif. La décision officielle se prend dans l'application (circuit de validation, comité). Détail du calcul : onglet Resultat.</t>
  </si>
  <si>
    <t>Outil de scoring — Promotion immobilière</t>
  </si>
  <si>
    <t>Dossier en cours</t>
  </si>
  <si>
    <t>Référence · projet</t>
  </si>
  <si>
    <t>Comment faire</t>
  </si>
  <si>
    <t>1. Nouveau dossier</t>
  </si>
  <si>
    <t>Ruban « Scoring PI » › Nouveau dossier : vide la saisie et les calculateurs. Sans macros : effacez les cellules jaunes de l'onglet Saisie.</t>
  </si>
  <si>
    <t>2. Renseigner la saisie</t>
  </si>
  <si>
    <t>Identité du dossier puis données, dans les cellules jaunes (listes en clair). Laissez vide une donnée inconnue. La colonne « État » signale ce qui manque ; le résultat se met à jour en direct en haut de la feuille.</t>
  </si>
  <si>
    <t>3. Calculateurs (facultatif)</t>
  </si>
  <si>
    <t>Autorisations, ventes sécurisées, mainlevée, division des risques, arrêt de chantier, déblocages, équipements exigés, programme mixte : ils calculent 16 données de la saisie (votre saisie directe prime).</t>
  </si>
  <si>
    <t>4. Lire et imprimer la fiche</t>
  </si>
  <si>
    <t>Décision, notes, données manquantes, conditions à lever, alertes, points d'attention. Imprimable sur une page (Ctrl+P) ; ruban › Exporter la fiche en PDF.</t>
  </si>
  <si>
    <t>5. Enregistrer le dossier</t>
  </si>
  <si>
    <t>Ruban › Enregistrer le dossier : il est rangé dans l'onglet Portefeuille (même référence = mise à jour). Ruban › Ouvrir un dossier pour le recharger.</t>
  </si>
  <si>
    <t>6. Aller plus loin</t>
  </si>
  <si>
    <t>Stress test (7 scénarios), scoring de tout le portefeuille, journal des calculs (onglet Historique), aide détaillée (onglet Aide).</t>
  </si>
  <si>
    <t>Macros et ruban « Scoring PI »</t>
  </si>
  <si>
    <t>Fichier .xlsm</t>
  </si>
  <si>
    <t>Les macros et l'onglet de ruban « Scoring PI » sont intégrés : rien à installer. Si Excel indique que les macros sont bloquées (fichier reçu par e-mail ou téléchargé) : fermez le fichier, clic droit › Propriétés › cochez « Débloquer » › OK, rouvrez-le puis cliquez « Activer le contenu ».</t>
  </si>
  <si>
    <t>Sans macros</t>
  </si>
  <si>
    <t>Le calcul (saisie, fiche, résultat) fonctionne sans macros, y compris dans le fichier .xlsx : seules les actions du ruban (nouveau dossier, enregistrer, PDF, stress, portefeuille) sont indisponibles.</t>
  </si>
  <si>
    <t>Bon à savoir</t>
  </si>
  <si>
    <t>Vide ≠ 0</t>
  </si>
  <si>
    <t>Une donnée vide est « absente » : note plancher, ou « dossier incomplet » si elle est décisionnelle. Ne saisissez jamais 0 ou « Non » à la place d'une donnée inconnue.</t>
  </si>
  <si>
    <t>Pourcentages</t>
  </si>
  <si>
    <t>Saisir les pourcentages en points : 62 pour 62 %. Une valeur comme 0,62 est signalée dans la colonne « État ».</t>
  </si>
  <si>
    <t>Feuilles protégées</t>
  </si>
  <si>
    <t>Seules les cellules jaunes sont modifiables (protection sans mot de passe : Révision › Ôter la protection si besoin).</t>
  </si>
  <si>
    <t>Paramètres du modèle</t>
  </si>
  <si>
    <t>Onglets P_* masqués : ruban › Paramètres (afficher / masquer). Toute modification : Valider le modèle, puis informer le propriétaire du modèle.</t>
  </si>
  <si>
    <t>Décision officielle</t>
  </si>
  <si>
    <t>Ce classeur est un outil d'aide (simulation, préparation de comité, formation). La décision officielle se prend dans l'application.</t>
  </si>
  <si>
    <t>Scoring de portefeuille</t>
  </si>
  <si>
    <t>Une ligne par dossier (ruban › Enregistrer le dossier ajoute ou met à jour la ligne du dossier en cours ; Ouvrir un dossier le recharge). Ruban › Scorer le portefeuille remplit les colonnes de résultat à droite. Booléens : Oui / Non.</t>
  </si>
  <si>
    <t>Identité</t>
  </si>
  <si>
    <t>Données d'entrée (mêmes clés que l'onglet Saisie)</t>
  </si>
  <si>
    <t>Classe BAM</t>
  </si>
  <si>
    <t>Score final</t>
  </si>
  <si>
    <t>Malus D5</t>
  </si>
  <si>
    <t>Dossier complet</t>
  </si>
  <si>
    <t>Score éco.</t>
  </si>
  <si>
    <t>Note sûretés</t>
  </si>
  <si>
    <t>PD indicative</t>
  </si>
  <si>
    <t>Alertes</t>
  </si>
  <si>
    <t>Données manquantes</t>
  </si>
  <si>
    <t>Conditions</t>
  </si>
  <si>
    <t>EXEMPLE-1</t>
  </si>
  <si>
    <t>Dossier solide, classe saine</t>
  </si>
  <si>
    <t>EXEMPLE-2</t>
  </si>
  <si>
    <t>Dossier intermédiaire (score moyen)</t>
  </si>
  <si>
    <t>EXEMPLE-3</t>
  </si>
  <si>
    <t>Non 1er rang + restructuration : malus cumulés</t>
  </si>
  <si>
    <t>Autotests — cas de référence issus du moteur de production</t>
  </si>
  <si>
    <t>Les résultats attendus proviennent de l'exécution du moteur de l'application sur le modèle v5.0.0. Macro : ExecuterAutotests (tolérance 0,02 point).</t>
  </si>
  <si>
    <t>Cas</t>
  </si>
  <si>
    <t>Description</t>
  </si>
  <si>
    <t>Attendu : score final</t>
  </si>
  <si>
    <t>Attendu : décision</t>
  </si>
  <si>
    <t>Attendu : classe interne</t>
  </si>
  <si>
    <t>Attendu : malus</t>
  </si>
  <si>
    <t>Attendu : incomplet</t>
  </si>
  <si>
    <t>Attendu : score éco.</t>
  </si>
  <si>
    <t>Attendu : D1</t>
  </si>
  <si>
    <t>Attendu : D2</t>
  </si>
  <si>
    <t>Attendu : D3</t>
  </si>
  <si>
    <t>Attendu : D4</t>
  </si>
  <si>
    <t>Attendu : note sûretés</t>
  </si>
  <si>
    <t>Obtenu : score final</t>
  </si>
  <si>
    <t>Obtenu : décision</t>
  </si>
  <si>
    <t>Statut</t>
  </si>
  <si>
    <t>T01</t>
  </si>
  <si>
    <t>Sain</t>
  </si>
  <si>
    <t>T02</t>
  </si>
  <si>
    <t>Solide, segment touristique + zone Marrakech (ajustements)</t>
  </si>
  <si>
    <t>T03</t>
  </si>
  <si>
    <t>Sensible probable</t>
  </si>
  <si>
    <t>T04</t>
  </si>
  <si>
    <t>Dossier intermédiaire dégradé (cash 0,9 + impasse persistante)</t>
  </si>
  <si>
    <t>Sensible</t>
  </si>
  <si>
    <t>T05</t>
  </si>
  <si>
    <t>Impayé 120 j : alerte bloquante, souffrance</t>
  </si>
  <si>
    <t>Souffrance</t>
  </si>
  <si>
    <t>T06</t>
  </si>
  <si>
    <t>Cash coverage 0,99 : alerte -25</t>
  </si>
  <si>
    <t>Surveillance</t>
  </si>
  <si>
    <t>T07</t>
  </si>
  <si>
    <t>Cash coverage absent : dossier incomplet</t>
  </si>
  <si>
    <t>T08</t>
  </si>
  <si>
    <t>Classe pré-douteuse : défaut avéré</t>
  </si>
  <si>
    <t>T09</t>
  </si>
  <si>
    <t>Classe contentieux CTX : score 0</t>
  </si>
  <si>
    <t>T10</t>
  </si>
  <si>
    <t>Classe sensible : coefficient 0,9</t>
  </si>
  <si>
    <t>T11</t>
  </si>
  <si>
    <t>Apport 50 % : gate franchi</t>
  </si>
  <si>
    <t>T12</t>
  </si>
  <si>
    <t>T13</t>
  </si>
  <si>
    <t>Segment et zone hors référentiel</t>
  </si>
  <si>
    <t>segment_inconnu</t>
  </si>
  <si>
    <t>zone_inconnue</t>
  </si>
  <si>
    <t>T14</t>
  </si>
  <si>
    <t>Classe non renseignée : dossier incomplet</t>
  </si>
  <si>
    <t>T15</t>
  </si>
  <si>
    <t>Autorisation indispensable manquante (verrou de tirage)</t>
  </si>
  <si>
    <t>T16</t>
  </si>
  <si>
    <t>Gouvernance non renseignée (qualitatif : note plancher)</t>
  </si>
  <si>
    <t>T17</t>
  </si>
  <si>
    <t>Retard chantier 8 mois + prix de mainlevée sous-tarifé</t>
  </si>
  <si>
    <t>T18</t>
  </si>
  <si>
    <t>Retard de paiement (dpd_days) absent : dossier incomplet</t>
  </si>
  <si>
    <t>T19</t>
  </si>
  <si>
    <t>Litige : alerte bloquante CTX</t>
  </si>
  <si>
    <t>T20</t>
  </si>
  <si>
    <t>Projet en difficulté (dégradé + non 1er rang)</t>
  </si>
  <si>
    <t>T21</t>
  </si>
  <si>
    <t>T22</t>
  </si>
  <si>
    <t>Déblocages en avance sur l'avancement (150 %)</t>
  </si>
  <si>
    <t>T23</t>
  </si>
  <si>
    <t>Mosquée exigée non budgétée (4 % du coût) et en retard</t>
  </si>
  <si>
    <t>T24</t>
  </si>
  <si>
    <t>Programme mixte : 45 % commerces et hôtel, sans preneur engagé</t>
  </si>
  <si>
    <t>T25</t>
  </si>
  <si>
    <t>Région en surstock, désistements 25 %, plan de tirage en retard</t>
  </si>
  <si>
    <t>T26</t>
  </si>
  <si>
    <t>Données v5 non renseignées (notes plancher)</t>
  </si>
  <si>
    <t>Stress test sur le dossier courant (onglet Saisie)</t>
  </si>
  <si>
    <t>Chocs appliqués aux données primitives par identités comptables (marge, LTV, LTC) — mêmes règles que l'application. Macro : LancerStress.</t>
  </si>
  <si>
    <t>Score de base</t>
  </si>
  <si>
    <t>Décision de base</t>
  </si>
  <si>
    <t>Scénario</t>
  </si>
  <si>
    <t>Prix −%</t>
  </si>
  <si>
    <t>Coût +%</t>
  </si>
  <si>
    <t>Retard (mois)</t>
  </si>
  <si>
    <t>Ventes −%</t>
  </si>
  <si>
    <t>Taux +bps</t>
  </si>
  <si>
    <t>Préventes −pts</t>
  </si>
  <si>
    <t>Retard paiement +j</t>
  </si>
  <si>
    <t>Δ vs base</t>
  </si>
  <si>
    <t>price10</t>
  </si>
  <si>
    <t>Prix −10 %</t>
  </si>
  <si>
    <t>price15</t>
  </si>
  <si>
    <t>Prix −15 %</t>
  </si>
  <si>
    <t>cost10</t>
  </si>
  <si>
    <t>Coût +10 %</t>
  </si>
  <si>
    <t>delay6</t>
  </si>
  <si>
    <t>Retard +6 mois</t>
  </si>
  <si>
    <t>sales20</t>
  </si>
  <si>
    <t>Ventes −20 %</t>
  </si>
  <si>
    <t>rate200</t>
  </si>
  <si>
    <t>Taux +200 bps</t>
  </si>
  <si>
    <t>severe</t>
  </si>
  <si>
    <t>Sévère combiné</t>
  </si>
  <si>
    <t>Historique des calculs (journal)</t>
  </si>
  <si>
    <t>Alimenté par les macros (ScorerDossier, ScorerPortefeuille). La version du modèle est tracée sur chaque ligne.</t>
  </si>
  <si>
    <t>Date / heure</t>
  </si>
  <si>
    <t>Utilisateur</t>
  </si>
  <si>
    <t>Dossier</t>
  </si>
  <si>
    <t>Aide — outil de scoring de la promotion immobilière</t>
  </si>
  <si>
    <t>À quoi sert ce classeur</t>
  </si>
  <si>
    <t>Calculer le score, la décision et la classe interne d'un dossier de promotion immobilière selon le modèle publié, hors de l'application : simulation, préparation de comité, agence, dépannage, formation. Il reproduit le moteur de production (vérifié sur 26 cas de référence).</t>
  </si>
  <si>
    <t>Principe</t>
  </si>
  <si>
    <t>Le MOTEUR est en formules Excel (onglet Resultat) : chaque note est traçable cellule par cellule et les barèmes se modifient sans code. Les macros AUTOMATISENT : nouveau dossier, enregistrer / ouvrir un dossier, export PDF, stress test, scoring de portefeuille, autotests, validation du modèle, journal.</t>
  </si>
  <si>
    <t>Parcours</t>
  </si>
  <si>
    <t>Accueil → Saisie (cellules jaunes, résultat en direct) → Fiche (synthèse imprimable). Calculateurs, Portefeuille, Stress et Historique au besoin. Resultat = calcul pas à pas.</t>
  </si>
  <si>
    <t>Ruban « Scoring PI »</t>
  </si>
  <si>
    <t>Dossier : Nouveau, Enregistrer, Ouvrir, Exporter la fiche en PDF. Analyse : Stress test, Scorer le portefeuille. Outil : Autotests, Valider le modèle, Paramètres (afficher / masquer), Aide. Sans ruban : Alt+F8 et choisir la macro (NouveauDossier, EnregistrerDossier, OuvrirDossier, ExporterPDF, LancerStress, ScorerPortefeuille, ExecuterAutotests, ValiderModele, BasculerParametres).</t>
  </si>
  <si>
    <t>Fichier sans macros</t>
  </si>
  <si>
    <t>Le fichier .xlsx calcule tout (saisie, fiche, résultat). Pour y ajouter les macros : Alt+F11 › Fichier › Importer les 6 fichiers .bas du dossier « vba », puis enregistrer au format .xlsm ; InstallerBoutons ajoute des boutons sur l'Accueil.</t>
  </si>
  <si>
    <t>Saisie</t>
  </si>
  <si>
    <t>Vide = donnée absente (jamais 0, jamais « Non »). Pourcentages en points (62 pour 62 %). Listes en clair : le code technique est déduit automatiquement. La colonne « État » indique : ✔ renseigné, ⚠ manquant — décisionnel (le dossier sera incomplet), ○ non renseigné (note plancher), ⚠ valeur à vérifier.</t>
  </si>
  <si>
    <t>Enregistrer les dossiers</t>
  </si>
  <si>
    <t>Enregistrer le dossier range les valeurs utilisées (y compris celles des calculateurs) dans le Portefeuille, avec le résultat. Ouvrir un dossier : sélectionnez sa ligne dans le Portefeuille (ou tapez sa référence) ; la saisie et les calculateurs du dossier courant sont d'abord vidés.</t>
  </si>
  <si>
    <t>Vérifier</t>
  </si>
  <si>
    <t>Ruban › Autotests : attendu « 26 / 26 cas conformes ». Valider le modèle après toute modification des paramètres.</t>
  </si>
  <si>
    <t>Invariants de décision</t>
  </si>
  <si>
    <t>Donnée manquante ≠ amélioration (note plancher ; alerte « non exclue » si sa donnée numérique manque) · Défaut avéré → NO_GO · Classe non renseignée → dossier incomplet · Aucun malus pour la division des risques (retour en comité).</t>
  </si>
  <si>
    <t>Ce que le classeur ne fait pas</t>
  </si>
  <si>
    <t>Classification BAM complète (déclencheurs qualitatifs 1/W, restructuration, effet de groupe) : la classe est saisie ; seule une suggestion fondée sur le retard est affichée. Trésorerie mensuelle, LGD, IFRS 9, workflow d'approbation, historisation multi-utilisateurs : dans l'application.</t>
  </si>
  <si>
    <t>Limites d'usage</t>
  </si>
  <si>
    <t>Classeur individuel : pas de contrôle d'accès ni de piste d'audit opposable. La décision officielle se prend dans l'application. La PD affichée est INDICATIVE et non calibrée (non affichée si le dossier est incomplet). Les grilles par phase et l'effet des coefficients territoriaux sont des challengers.</t>
  </si>
  <si>
    <t>Paramétrage</t>
  </si>
  <si>
    <t>Onglets P_* (masqués ; ruban › Paramètres) : critères, barèmes, alertes, ajustements, référentiels, seuils, libellés des décisions. Modifier = Valider le modèle + Instantané du modèle + information du propriétaire du modèle. Après ajout d'une modalité : Rafraîchir les listes.</t>
  </si>
  <si>
    <t>Version de l'outil</t>
  </si>
  <si>
    <t>Outil 5.1 du 05/10/2026 : classeur .xlsm prêt à l'emploi (macros intégrées, ruban), page d'accueil, fiche de résultat imprimable, saisie en clair avec état des données et résultat en direct, enregistrement des dossiers dans le portefeuille, feuilles protégées, valeurs visibles même en aperçu. Correction : les calculateurs du dossier courant ne faussent plus le scoring du portefeuille ni les autotests.</t>
  </si>
  <si>
    <t>Onglets</t>
  </si>
  <si>
    <t>Accueil</t>
  </si>
  <si>
    <t>Dossier en cours et mode d'emploi</t>
  </si>
  <si>
    <t>Données du dossier (cellules jaunes) et résultat en direct</t>
  </si>
  <si>
    <t>Fiche</t>
  </si>
  <si>
    <t>Synthèse lisible et imprimable</t>
  </si>
  <si>
    <t>Calculateurs</t>
  </si>
  <si>
    <t>Données dérivées : autorisations, ventes sécurisées, mainlevée, division des risques, arrêt de chantier, déblocages, équipements, programme mixte</t>
  </si>
  <si>
    <t>Portefeuille</t>
  </si>
  <si>
    <t>Dossiers enregistrés et scoring de masse</t>
  </si>
  <si>
    <t>Stress</t>
  </si>
  <si>
    <t>Chocs sur le dossier courant</t>
  </si>
  <si>
    <t>Resultat</t>
  </si>
  <si>
    <t>Calcul pas à pas (moteur)</t>
  </si>
  <si>
    <t>Historique</t>
  </si>
  <si>
    <t>Journal des calculs</t>
  </si>
  <si>
    <t>Tests, P_* (masqués)</t>
  </si>
  <si>
    <t>26 cas de référence ; paramètres du modèle</t>
  </si>
</sst>
</file>

<file path=xl/styles.xml><?xml version="1.0" encoding="utf-8"?>
<styleSheet xmlns="http://schemas.openxmlformats.org/spreadsheetml/2006/main">
  <numFmts count="9">
    <numFmt numFmtId="164" formatCode="0.00"/>
    <numFmt numFmtId="165" formatCode="dd/mm/yyyy"/>
    <numFmt numFmtId="166" formatCode="0.0"/>
    <numFmt numFmtId="167" formatCode="0%"/>
    <numFmt numFmtId="168" formatCode="0.00;-0.00;;@"/>
    <numFmt numFmtId="169" formatCode="#,##0"/>
    <numFmt numFmtId="170" formatCode="0.####"/>
    <numFmt numFmtId="171" formatCode="0.0%"/>
    <numFmt numFmtId="172" formatCode="0.0000"/>
  </numFmts>
  <fonts count="25">
    <font>
      <sz val="11"/>
      <color theme="1"/>
      <name val="Calibri"/>
      <family val="2"/>
      <scheme val="minor"/>
    </font>
    <font>
      <b/>
      <sz val="20"/>
      <color rgb="FF1F3864"/>
      <name val="Calibri"/>
      <family val="2"/>
      <scheme val="minor"/>
    </font>
    <font>
      <i/>
      <sz val="10"/>
      <color rgb="FF595959"/>
      <name val="Calibri"/>
      <family val="2"/>
      <scheme val="minor"/>
    </font>
    <font>
      <b/>
      <sz val="11"/>
      <color rgb="FFFFFFFF"/>
      <name val="Calibri"/>
      <family val="2"/>
      <scheme val="minor"/>
    </font>
    <font>
      <b/>
      <sz val="10"/>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u/>
      <sz val="11"/>
      <color theme="10"/>
      <name val="Calibri"/>
      <family val="2"/>
    </font>
    <font>
      <b/>
      <u/>
      <sz val="10"/>
      <color rgb="FF0563C1"/>
      <name val="Calibri"/>
      <family val="2"/>
      <scheme val="minor"/>
    </font>
    <font>
      <b/>
      <sz val="16"/>
      <color rgb="FF1F3864"/>
      <name val="Calibri"/>
      <family val="2"/>
      <scheme val="minor"/>
    </font>
    <font>
      <b/>
      <sz val="10"/>
      <color rgb="FF1F3864"/>
      <name val="Calibri"/>
      <family val="2"/>
      <scheme val="minor"/>
    </font>
    <font>
      <sz val="8"/>
      <color rgb="FF7F7F7F"/>
      <name val="Calibri"/>
      <family val="2"/>
      <scheme val="minor"/>
    </font>
    <font>
      <b/>
      <sz val="10"/>
      <color rgb="FF9C0006"/>
      <name val="Calibri"/>
      <family val="2"/>
      <scheme val="minor"/>
    </font>
    <font>
      <b/>
      <sz val="10"/>
      <color rgb="FFFFFFFF"/>
      <name val="Calibri"/>
      <family val="2"/>
      <scheme val="minor"/>
    </font>
    <font>
      <sz val="9"/>
      <color rgb="FF595959"/>
      <name val="Calibri"/>
      <family val="2"/>
      <scheme val="minor"/>
    </font>
    <font>
      <sz val="9"/>
      <color theme="1"/>
      <name val="Calibri"/>
      <family val="2"/>
      <scheme val="minor"/>
    </font>
    <font>
      <sz val="10"/>
      <color rgb="FF595959"/>
      <name val="Calibri"/>
      <family val="2"/>
      <scheme val="minor"/>
    </font>
    <font>
      <b/>
      <sz val="10"/>
      <color rgb="FF595959"/>
      <name val="Calibri"/>
      <family val="2"/>
      <scheme val="minor"/>
    </font>
    <font>
      <b/>
      <sz val="24"/>
      <color theme="1"/>
      <name val="Calibri"/>
      <family val="2"/>
      <scheme val="minor"/>
    </font>
    <font>
      <b/>
      <sz val="15"/>
      <color theme="1"/>
      <name val="Calibri"/>
      <family val="2"/>
      <scheme val="minor"/>
    </font>
    <font>
      <i/>
      <sz val="8"/>
      <color rgb="FF7F7F7F"/>
      <name val="Calibri"/>
      <family val="2"/>
      <scheme val="minor"/>
    </font>
    <font>
      <i/>
      <sz val="8"/>
      <color theme="1"/>
      <name val="Calibri"/>
      <family val="2"/>
      <scheme val="minor"/>
    </font>
    <font>
      <b/>
      <sz val="18"/>
      <color rgb="FF1F3864"/>
      <name val="Calibri"/>
      <family val="2"/>
      <scheme val="minor"/>
    </font>
    <font>
      <sz val="8"/>
      <color indexed="81"/>
      <name val="Tahoma"/>
      <family val="2"/>
    </font>
  </fonts>
  <fills count="9">
    <fill>
      <patternFill patternType="none"/>
    </fill>
    <fill>
      <patternFill patternType="gray125"/>
    </fill>
    <fill>
      <patternFill patternType="solid">
        <fgColor rgb="FF1F3864"/>
        <bgColor indexed="64"/>
      </patternFill>
    </fill>
    <fill>
      <patternFill patternType="solid">
        <fgColor rgb="FFF2F2F2"/>
        <bgColor indexed="64"/>
      </patternFill>
    </fill>
    <fill>
      <patternFill patternType="solid">
        <fgColor rgb="FFD9E1F2"/>
        <bgColor indexed="64"/>
      </patternFill>
    </fill>
    <fill>
      <patternFill patternType="solid">
        <fgColor rgb="FFFFF2CC"/>
        <bgColor indexed="64"/>
      </patternFill>
    </fill>
    <fill>
      <patternFill patternType="solid">
        <fgColor rgb="FF2E5496"/>
        <bgColor indexed="64"/>
      </patternFill>
    </fill>
    <fill>
      <patternFill patternType="solid">
        <fgColor rgb="FF548235"/>
        <bgColor indexed="64"/>
      </patternFill>
    </fill>
    <fill>
      <patternFill patternType="solid">
        <fgColor rgb="FFDDEBF7"/>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50">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3" borderId="1" xfId="0" applyFont="1" applyFill="1" applyBorder="1"/>
    <xf numFmtId="164" fontId="6" fillId="3" borderId="1" xfId="0" applyNumberFormat="1" applyFont="1" applyFill="1" applyBorder="1" applyAlignment="1">
      <alignment horizontal="left"/>
    </xf>
    <xf numFmtId="0" fontId="7" fillId="3" borderId="1" xfId="0" applyFont="1" applyFill="1" applyBorder="1"/>
    <xf numFmtId="0" fontId="8" fillId="0" borderId="0" xfId="1" applyAlignment="1" applyProtection="1"/>
    <xf numFmtId="0" fontId="9" fillId="0" borderId="0" xfId="0" applyFont="1" applyAlignment="1">
      <alignment vertical="top"/>
    </xf>
    <xf numFmtId="0" fontId="5" fillId="0" borderId="0" xfId="0" applyFont="1" applyAlignment="1">
      <alignment vertical="top" wrapText="1"/>
    </xf>
    <xf numFmtId="0" fontId="4" fillId="0" borderId="0" xfId="0" applyFont="1" applyAlignment="1">
      <alignment vertical="top" wrapText="1"/>
    </xf>
    <xf numFmtId="0" fontId="10" fillId="0" borderId="0" xfId="0" applyFont="1"/>
    <xf numFmtId="0" fontId="11" fillId="4" borderId="1" xfId="0" applyFont="1" applyFill="1" applyBorder="1"/>
    <xf numFmtId="0" fontId="5" fillId="5" borderId="1" xfId="0" applyFont="1" applyFill="1" applyBorder="1" applyProtection="1">
      <protection locked="0"/>
    </xf>
    <xf numFmtId="164" fontId="7" fillId="3" borderId="1" xfId="0" applyNumberFormat="1" applyFont="1" applyFill="1" applyBorder="1"/>
    <xf numFmtId="0" fontId="4" fillId="3" borderId="1" xfId="0" applyFont="1" applyFill="1" applyBorder="1"/>
    <xf numFmtId="0" fontId="12" fillId="0" borderId="0" xfId="0" applyFont="1"/>
    <xf numFmtId="0" fontId="13" fillId="0" borderId="0" xfId="0" applyFont="1"/>
    <xf numFmtId="0" fontId="14" fillId="6" borderId="1" xfId="0" applyFont="1" applyFill="1" applyBorder="1" applyAlignment="1">
      <alignment vertical="center" wrapText="1"/>
    </xf>
    <xf numFmtId="0" fontId="15" fillId="0" borderId="0" xfId="0" applyFont="1"/>
    <xf numFmtId="0" fontId="16" fillId="3" borderId="1" xfId="0" applyFont="1" applyFill="1" applyBorder="1"/>
    <xf numFmtId="0" fontId="7" fillId="0" borderId="0" xfId="0" applyFont="1"/>
    <xf numFmtId="0" fontId="17" fillId="0" borderId="0" xfId="0" applyFont="1" applyAlignment="1">
      <alignment horizontal="right"/>
    </xf>
    <xf numFmtId="165" fontId="17" fillId="0" borderId="0" xfId="0" applyNumberFormat="1" applyFont="1"/>
    <xf numFmtId="0" fontId="18" fillId="4" borderId="1" xfId="0" applyFont="1" applyFill="1" applyBorder="1" applyAlignment="1">
      <alignment horizontal="center" vertical="center"/>
    </xf>
    <xf numFmtId="164" fontId="19" fillId="0" borderId="1" xfId="0" applyNumberFormat="1" applyFont="1" applyBorder="1" applyAlignment="1">
      <alignment horizontal="center" vertical="center"/>
    </xf>
    <xf numFmtId="0" fontId="20" fillId="0" borderId="1" xfId="0" applyFont="1" applyBorder="1" applyAlignment="1">
      <alignment horizontal="center" vertical="center" wrapText="1"/>
    </xf>
    <xf numFmtId="0" fontId="4" fillId="3" borderId="1" xfId="0" applyFont="1" applyFill="1" applyBorder="1" applyAlignment="1">
      <alignment vertical="top"/>
    </xf>
    <xf numFmtId="0" fontId="5" fillId="0" borderId="1" xfId="0" applyFont="1" applyBorder="1" applyAlignment="1">
      <alignment vertical="top" wrapText="1"/>
    </xf>
    <xf numFmtId="166" fontId="5" fillId="0" borderId="1" xfId="0" applyNumberFormat="1" applyFont="1" applyBorder="1"/>
    <xf numFmtId="167" fontId="5" fillId="0" borderId="1" xfId="0" applyNumberFormat="1" applyFont="1" applyBorder="1"/>
    <xf numFmtId="166" fontId="4" fillId="0" borderId="1" xfId="0" applyNumberFormat="1" applyFont="1" applyBorder="1" applyAlignment="1">
      <alignment horizontal="center" vertical="top"/>
    </xf>
    <xf numFmtId="0" fontId="21" fillId="0" borderId="0" xfId="0" applyFont="1" applyAlignment="1">
      <alignment wrapText="1"/>
    </xf>
    <xf numFmtId="168" fontId="5" fillId="3" borderId="1" xfId="0" applyNumberFormat="1" applyFont="1" applyFill="1" applyBorder="1"/>
    <xf numFmtId="0" fontId="22" fillId="0" borderId="0" xfId="0" applyFont="1"/>
    <xf numFmtId="169" fontId="5" fillId="3" borderId="1" xfId="0" applyNumberFormat="1" applyFont="1" applyFill="1" applyBorder="1"/>
    <xf numFmtId="170" fontId="5" fillId="5" borderId="1" xfId="0" applyNumberFormat="1" applyFont="1" applyFill="1" applyBorder="1" applyProtection="1">
      <protection locked="0"/>
    </xf>
    <xf numFmtId="0" fontId="5" fillId="0" borderId="0" xfId="0" applyFont="1" applyProtection="1">
      <protection locked="0"/>
    </xf>
    <xf numFmtId="165" fontId="5" fillId="5" borderId="1" xfId="0" applyNumberFormat="1" applyFont="1" applyFill="1" applyBorder="1" applyProtection="1">
      <protection locked="0"/>
    </xf>
    <xf numFmtId="0" fontId="14" fillId="7" borderId="1" xfId="0" applyFont="1" applyFill="1" applyBorder="1" applyAlignment="1">
      <alignment wrapText="1"/>
    </xf>
    <xf numFmtId="0" fontId="5" fillId="8" borderId="1" xfId="0" applyFont="1" applyFill="1" applyBorder="1"/>
    <xf numFmtId="170" fontId="5" fillId="8" borderId="1" xfId="0" applyNumberFormat="1" applyFont="1" applyFill="1" applyBorder="1"/>
    <xf numFmtId="0" fontId="12" fillId="3" borderId="1" xfId="0" applyFont="1" applyFill="1" applyBorder="1"/>
    <xf numFmtId="164" fontId="23" fillId="0" borderId="2" xfId="0" applyNumberFormat="1" applyFont="1" applyBorder="1" applyAlignment="1">
      <alignment horizontal="center"/>
    </xf>
    <xf numFmtId="0" fontId="6" fillId="0" borderId="2" xfId="0" applyFont="1" applyBorder="1" applyAlignment="1">
      <alignment horizontal="center"/>
    </xf>
    <xf numFmtId="171" fontId="5" fillId="3" borderId="1" xfId="0" applyNumberFormat="1" applyFont="1" applyFill="1" applyBorder="1"/>
    <xf numFmtId="0" fontId="5" fillId="3" borderId="1" xfId="0" applyFont="1" applyFill="1" applyBorder="1" applyAlignment="1">
      <alignment vertical="top" wrapText="1"/>
    </xf>
    <xf numFmtId="172" fontId="5" fillId="3" borderId="1" xfId="0" applyNumberFormat="1" applyFont="1" applyFill="1" applyBorder="1"/>
    <xf numFmtId="0" fontId="11" fillId="0" borderId="0" xfId="0" applyFont="1" applyAlignment="1">
      <alignment vertical="top" wrapText="1"/>
    </xf>
  </cellXfs>
  <cellStyles count="2">
    <cellStyle name="Hyperlink" xfId="1" builtinId="8"/>
    <cellStyle name="Normal" xfId="0" builtinId="0"/>
  </cellStyles>
  <dxfs count="14">
    <dxf>
      <font>
        <color rgb="FF006100"/>
      </font>
      <fill>
        <patternFill>
          <bgColor rgb="FFC6EFCE"/>
        </patternFill>
      </fill>
    </dxf>
    <dxf>
      <font>
        <b/>
        <color rgb="FF375623"/>
      </font>
      <fill>
        <patternFill>
          <bgColor rgb="FFE2EFDA"/>
        </patternFill>
      </fill>
    </dxf>
    <dxf>
      <font>
        <color rgb="FF7F6000"/>
      </font>
      <fill>
        <patternFill>
          <bgColor rgb="FFFFEB9C"/>
        </patternFill>
      </fill>
    </dxf>
    <dxf>
      <font>
        <color rgb="FF9C0006"/>
      </font>
      <fill>
        <patternFill>
          <bgColor rgb="FFFFC7CE"/>
        </patternFill>
      </fill>
    </dxf>
    <dxf>
      <font>
        <color rgb="FF404040"/>
      </font>
      <fill>
        <patternFill>
          <bgColor rgb="FFD9D9D9"/>
        </patternFill>
      </fill>
    </dxf>
    <dxf>
      <font>
        <color rgb="FF006100"/>
      </font>
      <fill>
        <patternFill>
          <bgColor rgb="FFE2EFDA"/>
        </patternFill>
      </fill>
    </dxf>
    <dxf>
      <font>
        <color rgb="FF375623"/>
      </font>
      <fill>
        <patternFill>
          <bgColor rgb="FFE2EFDA"/>
        </patternFill>
      </fill>
    </dxf>
    <dxf>
      <font>
        <color rgb="FF006100"/>
      </font>
      <fill>
        <patternFill>
          <bgColor rgb="FFC6EFCE"/>
        </patternFill>
      </fill>
    </dxf>
    <dxf>
      <font>
        <color rgb="FF375623"/>
      </font>
      <fill>
        <patternFill>
          <bgColor rgb="FFE2EFDA"/>
        </patternFill>
      </fill>
    </dxf>
    <dxf>
      <font>
        <color rgb="FF7F6000"/>
      </font>
      <fill>
        <patternFill>
          <bgColor rgb="FFFFEB9C"/>
        </patternFill>
      </fill>
    </dxf>
    <dxf>
      <font>
        <color rgb="FF9C0006"/>
      </font>
      <fill>
        <patternFill>
          <bgColor rgb="FFFFC7CE"/>
        </patternFill>
      </fill>
    </dxf>
    <dxf>
      <font>
        <color rgb="FF404040"/>
      </font>
      <fill>
        <patternFill>
          <bgColor rgb="FFD9D9D9"/>
        </patternFill>
      </fill>
    </dxf>
    <dxf>
      <font>
        <color rgb="FF9C0006"/>
      </font>
    </dxf>
    <dxf>
      <font>
        <b/>
        <color rgb="FF9C0006"/>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tabColor rgb="FF70AD47"/>
  </sheetPr>
  <dimension ref="B1:C30"/>
  <sheetViews>
    <sheetView showGridLines="0" tabSelected="1" workbookViewId="0"/>
  </sheetViews>
  <sheetFormatPr defaultRowHeight="15"/>
  <cols>
    <col min="1" max="1" width="2.7109375" customWidth="1"/>
    <col min="2" max="2" width="34.7109375" customWidth="1"/>
    <col min="3" max="3" width="92.7109375" customWidth="1"/>
  </cols>
  <sheetData>
    <row r="1" spans="2:3">
      <c r="B1" s="1" t="s">
        <v>784</v>
      </c>
    </row>
    <row r="2" spans="2:3">
      <c r="B2" s="2" t="str">
        <f>"Modèle PI_PROMOTION "&amp;P_Version&amp;" (publié le "&amp;P_Date&amp;") · outil 5.1 du 05/10/2026"</f>
        <v>Modèle PI_PROMOTION v5.0.0 (publié le 2026-10-01) · outil 5.1 du 05/10/2026</v>
      </c>
    </row>
    <row r="4" spans="2:3">
      <c r="B4" s="3" t="s">
        <v>785</v>
      </c>
      <c r="C4" s="3"/>
    </row>
    <row r="5" spans="2:3">
      <c r="B5" s="4" t="s">
        <v>786</v>
      </c>
      <c r="C5" s="5" t="str">
        <f>IF(Saisie!C4="","(aucun dossier — commencez par l'onglet Saisie)",Saisie!C4&amp;" — "&amp;Saisie!C5)</f>
        <v>EXEMPLE — Dossier d'exemple — à remplacer (ruban « Scoring PI » › Nouveau dossier)</v>
      </c>
    </row>
    <row r="6" spans="2:3">
      <c r="B6" s="4" t="s">
        <v>771</v>
      </c>
      <c r="C6" s="6">
        <f>Res_ScoreFinal</f>
        <v>68.46</v>
      </c>
    </row>
    <row r="7" spans="2:3">
      <c r="B7" s="4" t="s">
        <v>556</v>
      </c>
      <c r="C7" s="7" t="str">
        <f>IFERROR(VLOOKUP(Res_Decision,P_DecTbl,2,FALSE),Res_Decision)</f>
        <v>Favorable sous conditions</v>
      </c>
    </row>
    <row r="8" spans="2:3">
      <c r="B8" s="4" t="s">
        <v>557</v>
      </c>
      <c r="C8" s="5" t="str">
        <f>Res_ClasseInt</f>
        <v>Surveillance</v>
      </c>
    </row>
    <row r="9" spans="2:3">
      <c r="B9" s="4" t="s">
        <v>558</v>
      </c>
      <c r="C9" s="5" t="str">
        <f>Saisie!I7</f>
        <v>37 / 37</v>
      </c>
    </row>
    <row r="10" spans="2:3">
      <c r="B10" s="4" t="s">
        <v>559</v>
      </c>
      <c r="C10" s="5">
        <f>Saisie!I8</f>
        <v>0.0</v>
      </c>
    </row>
    <row r="11" spans="2:3">
      <c r="C11" s="8" t="s">
        <v>561</v>
      </c>
    </row>
    <row r="13" spans="2:3">
      <c r="B13" s="3" t="s">
        <v>787</v>
      </c>
      <c r="C13" s="3"/>
    </row>
    <row r="14" spans="2:3" ht="32" customHeight="1">
      <c r="B14" s="9" t="s">
        <v>788</v>
      </c>
      <c r="C14" s="10" t="s">
        <v>789</v>
      </c>
    </row>
    <row r="15" spans="2:3" ht="32" customHeight="1">
      <c r="B15" s="9" t="s">
        <v>790</v>
      </c>
      <c r="C15" s="10" t="s">
        <v>791</v>
      </c>
    </row>
    <row r="16" spans="2:3" ht="32" customHeight="1">
      <c r="B16" s="9" t="s">
        <v>792</v>
      </c>
      <c r="C16" s="10" t="s">
        <v>793</v>
      </c>
    </row>
    <row r="17" spans="2:3" ht="32" customHeight="1">
      <c r="B17" s="9" t="s">
        <v>794</v>
      </c>
      <c r="C17" s="10" t="s">
        <v>795</v>
      </c>
    </row>
    <row r="18" spans="2:3" ht="32" customHeight="1">
      <c r="B18" s="9" t="s">
        <v>796</v>
      </c>
      <c r="C18" s="10" t="s">
        <v>797</v>
      </c>
    </row>
    <row r="19" spans="2:3" ht="32" customHeight="1">
      <c r="B19" s="9" t="s">
        <v>798</v>
      </c>
      <c r="C19" s="10" t="s">
        <v>799</v>
      </c>
    </row>
    <row r="21" spans="2:3">
      <c r="B21" s="3" t="s">
        <v>800</v>
      </c>
      <c r="C21" s="3"/>
    </row>
    <row r="22" spans="2:3" ht="44" customHeight="1">
      <c r="B22" s="11" t="s">
        <v>801</v>
      </c>
      <c r="C22" s="10" t="s">
        <v>802</v>
      </c>
    </row>
    <row r="23" spans="2:3" ht="44" customHeight="1">
      <c r="B23" s="11" t="s">
        <v>803</v>
      </c>
      <c r="C23" s="10" t="s">
        <v>804</v>
      </c>
    </row>
    <row r="25" spans="2:3">
      <c r="B25" s="3" t="s">
        <v>805</v>
      </c>
      <c r="C25" s="3"/>
    </row>
    <row r="26" spans="2:3" ht="30" customHeight="1">
      <c r="B26" s="11" t="s">
        <v>806</v>
      </c>
      <c r="C26" s="10" t="s">
        <v>807</v>
      </c>
    </row>
    <row r="27" spans="2:3" ht="30" customHeight="1">
      <c r="B27" s="11" t="s">
        <v>808</v>
      </c>
      <c r="C27" s="10" t="s">
        <v>809</v>
      </c>
    </row>
    <row r="28" spans="2:3" ht="30" customHeight="1">
      <c r="B28" s="11" t="s">
        <v>810</v>
      </c>
      <c r="C28" s="10" t="s">
        <v>811</v>
      </c>
    </row>
    <row r="29" spans="2:3" ht="30" customHeight="1">
      <c r="B29" s="11" t="s">
        <v>812</v>
      </c>
      <c r="C29" s="10" t="s">
        <v>813</v>
      </c>
    </row>
    <row r="30" spans="2:3" ht="30" customHeight="1">
      <c r="B30" s="11" t="s">
        <v>814</v>
      </c>
      <c r="C30" s="10" t="s">
        <v>815</v>
      </c>
    </row>
  </sheetData>
  <sheetProtection sheet="1" objects="1" scenarios="1" formatColumns="0" formatRows="0"/>
  <mergeCells count="4">
    <mergeCell ref="B4:C4"/>
    <mergeCell ref="B13:C13"/>
    <mergeCell ref="B21:C21"/>
    <mergeCell ref="B25:C25"/>
  </mergeCells>
  <conditionalFormatting sqref="C10">
    <cfRule type="cellIs" dxfId="3" priority="6" operator="greaterThan">
      <formula>0</formula>
    </cfRule>
  </conditionalFormatting>
  <conditionalFormatting sqref="C7">
    <cfRule type="expression" dxfId="7" priority="1">
      <formula>Res_Decision="GO"</formula>
    </cfRule>
    <cfRule type="expression" dxfId="8" priority="2">
      <formula>Res_Decision="GO_WITH_CONDITIONS"</formula>
    </cfRule>
    <cfRule type="expression" dxfId="9" priority="3">
      <formula>Res_Decision="WATCH_LIST"</formula>
    </cfRule>
    <cfRule type="expression" dxfId="10" priority="4">
      <formula>Res_Decision="NO_GO"</formula>
    </cfRule>
    <cfRule type="expression" dxfId="11" priority="5">
      <formula>Res_Decision="DOSSIER_INCOMPLET"</formula>
    </cfRule>
  </conditionalFormatting>
  <hyperlinks>
    <hyperlink ref="C11" location="Fiche!A1" display="→ Ouvrir la fiche de résultat"/>
    <hyperlink ref="B14" location="Saisie!C4" display="1. Nouveau dossier"/>
    <hyperlink ref="B15" location="Saisie!E13" display="2. Renseigner la saisie"/>
    <hyperlink ref="B16" location="Calculateurs!A4" display="3. Calculateurs (facultatif)"/>
    <hyperlink ref="B17" location="Fiche!A1" display="4. Lire et imprimer la fiche"/>
    <hyperlink ref="B18" location="Portefeuille!A5" display="5. Enregistrer le dossier"/>
    <hyperlink ref="B19" location="Stress!A1" display="6. Aller plus loin"/>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FFC000"/>
  </sheetPr>
  <dimension ref="A1:I92"/>
  <sheetViews>
    <sheetView workbookViewId="0">
      <pane xSplit="3" ySplit="12" topLeftCell="D13" activePane="bottomRight" state="frozen"/>
      <selection pane="topRight" activeCell="D1" sqref="D1"/>
      <selection pane="bottomLeft" activeCell="A13" sqref="A13"/>
      <selection pane="bottomRight"/>
    </sheetView>
  </sheetViews>
  <sheetFormatPr defaultRowHeight="15"/>
  <cols>
    <col min="1" max="1" width="24.7109375" customWidth="1"/>
    <col min="2" max="2" width="30.7109375" hidden="1" customWidth="1"/>
    <col min="3" max="3" width="46.7109375" customWidth="1"/>
    <col min="4" max="4" width="8.7109375" hidden="1" customWidth="1"/>
    <col min="5" max="5" width="22.7109375" customWidth="1"/>
    <col min="6" max="6" width="16.7109375" customWidth="1"/>
    <col min="7" max="7" width="16.7109375" hidden="1" customWidth="1"/>
    <col min="8" max="8" width="34.7109375" customWidth="1"/>
    <col min="9" max="9" width="30.7109375" customWidth="1"/>
  </cols>
  <sheetData>
    <row r="1" spans="1:9">
      <c r="A1" s="12" t="s">
        <v>548</v>
      </c>
    </row>
    <row r="2" spans="1:9">
      <c r="A2" s="2" t="s">
        <v>549</v>
      </c>
    </row>
    <row r="3" spans="1:9">
      <c r="H3" s="13" t="s">
        <v>554</v>
      </c>
      <c r="I3" s="13"/>
    </row>
    <row r="4" spans="1:9">
      <c r="A4" s="4" t="s">
        <v>550</v>
      </c>
      <c r="C4" s="14" t="s">
        <v>614</v>
      </c>
      <c r="H4" s="5" t="s">
        <v>555</v>
      </c>
      <c r="I4" s="15">
        <f>Res_ScoreFinal</f>
        <v>68.46</v>
      </c>
    </row>
    <row r="5" spans="1:9">
      <c r="A5" s="4" t="s">
        <v>551</v>
      </c>
      <c r="C5" s="14" t="s">
        <v>615</v>
      </c>
      <c r="H5" s="5" t="s">
        <v>556</v>
      </c>
      <c r="I5" s="16" t="str">
        <f>IFERROR(VLOOKUP(Res_Decision,P_DecTbl,2,FALSE),Res_Decision)</f>
        <v>Favorable sous conditions</v>
      </c>
    </row>
    <row r="6" spans="1:9">
      <c r="A6" s="4" t="s">
        <v>71</v>
      </c>
      <c r="C6" s="14" t="s">
        <v>92</v>
      </c>
      <c r="D6" s="17" t="str">
        <f>IF(C6="","",IFERROR(INDEX(P_SegCodes,MATCH(C6,P_SegLabelsAll,0)),C6))</f>
        <v>moyen_haut</v>
      </c>
      <c r="H6" s="5" t="s">
        <v>557</v>
      </c>
      <c r="I6" s="16" t="str">
        <f>Res_ClasseInt</f>
        <v>Surveillance</v>
      </c>
    </row>
    <row r="7" spans="1:9">
      <c r="A7" s="4" t="s">
        <v>73</v>
      </c>
      <c r="C7" s="14" t="s">
        <v>90</v>
      </c>
      <c r="D7" s="17" t="str">
        <f>IF(C7="","",IFERROR(INDEX(P_ZoneCodes,MATCH(C7,P_ZoneLabelsAll,0)),C7))</f>
        <v>casa_centre</v>
      </c>
      <c r="H7" s="5" t="s">
        <v>558</v>
      </c>
      <c r="I7" s="16" t="str">
        <f>SUMPRODUCT((G13:G49&lt;&gt;"")*1)&amp;" / 37"</f>
        <v>37 / 37</v>
      </c>
    </row>
    <row r="8" spans="1:9">
      <c r="A8" s="4" t="s">
        <v>552</v>
      </c>
      <c r="C8" s="14" t="s">
        <v>34</v>
      </c>
      <c r="D8" s="5"/>
      <c r="E8" s="5" t="str">
        <f>IFERROR(IF(NOT(ISNUMBER(INDEX(In_Retenue,MATCH("dpd_days",In_Cles,0)))),"",IF(INDEX(In_Retenue,MATCH("dpd_days",In_Cles,0))&gt;=P_DPD3,"COMPROMIS",IF(INDEX(In_Retenue,MATCH("dpd_days",In_Cles,0))&gt;=P_DPD2,"DOUTEUX",IF(INDEX(In_Retenue,MATCH("dpd_days",In_Cles,0))&gt;=P_DPD1,"PRE_DOUTEUX","SAIN")))),"")</f>
        <v>SAIN</v>
      </c>
      <c r="F8" s="5" t="str">
        <f>IF(OR(C8="",E8=""),"",IF(MATCH(C8,P_ClsCodes,0)&lt;MATCH(E8,P_ClsCodes,0),"⚠ Moins sévère que le retard","Cohérente avec le retard"))</f>
        <v>Cohérente avec le retard</v>
      </c>
      <c r="H8" s="5" t="s">
        <v>559</v>
      </c>
      <c r="I8" s="16">
        <f>COUNTIF(I13:I92,"⚠ Manquant*")</f>
        <v>0.0</v>
      </c>
    </row>
    <row r="9" spans="1:9">
      <c r="A9" s="4" t="s">
        <v>553</v>
      </c>
      <c r="C9" s="14" t="s">
        <v>51</v>
      </c>
      <c r="H9" s="5" t="s">
        <v>560</v>
      </c>
      <c r="I9" s="16">
        <f>COUNTIF(I13:I92,"⚠ En %*")+COUNTIF(I13:I92,"⚠ Valeur hors*")</f>
        <v>0.0</v>
      </c>
    </row>
    <row r="10" spans="1:9">
      <c r="A10" s="4" t="s">
        <v>5</v>
      </c>
      <c r="C10" s="5" t="str">
        <f>P_Version&amp;" — "&amp;P_Date</f>
        <v>v5.0.0 — 2026-10-01</v>
      </c>
      <c r="H10" s="8" t="s">
        <v>561</v>
      </c>
      <c r="I10" s="18">
        <f>IF(Calc_Actif,"","⚠ Calculateurs désactivés")</f>
        <v/>
      </c>
    </row>
    <row r="12" spans="1:9">
      <c r="A12" s="19" t="s">
        <v>562</v>
      </c>
      <c r="B12" s="19" t="s">
        <v>563</v>
      </c>
      <c r="C12" s="19" t="s">
        <v>564</v>
      </c>
      <c r="D12" s="19" t="s">
        <v>110</v>
      </c>
      <c r="E12" s="19" t="s">
        <v>565</v>
      </c>
      <c r="F12" s="19" t="s">
        <v>566</v>
      </c>
      <c r="G12" s="19" t="s">
        <v>567</v>
      </c>
      <c r="H12" s="19" t="s">
        <v>568</v>
      </c>
      <c r="I12" s="19" t="s">
        <v>569</v>
      </c>
    </row>
    <row r="13" spans="1:9">
      <c r="A13" s="5" t="s">
        <v>570</v>
      </c>
      <c r="B13" s="5" t="s">
        <v>121</v>
      </c>
      <c r="C13" s="5" t="s">
        <v>119</v>
      </c>
      <c r="D13" s="5" t="s">
        <v>120</v>
      </c>
      <c r="E13" s="14">
        <v>8</v>
      </c>
      <c r="F13" s="5"/>
      <c r="G13" s="5">
        <f>IF(E13&lt;&gt;"",E13,IF(F13="","",F13))</f>
        <v>8.0</v>
      </c>
      <c r="H13" s="20" t="s">
        <v>571</v>
      </c>
      <c r="I13" s="21" t="str">
        <f>IF(FALSE*ISNUMBER(G13)*(N(G13)&gt;0)*(N(G13)&lt;1),"⚠ En % : saisir 62 pour 62 %",IF(G13&lt;&gt;"","✔ Renseigné",IF(OR(COUNTIFS(P_Criteres!$F$5:$F$64,B13,P_Criteres!$G$5:$G$64,"Oui")&gt;0,COUNTIFS(P_Criteres!$F$5:$F$64,B13,P_Criteres!$K$5:$K$64,"Oui")&gt;0,B13=P_ExtraKey),"⚠ Manquant — décisionnel","○ Non renseigné")))</f>
        <v>✔ Renseigné</v>
      </c>
    </row>
    <row r="14" spans="1:9">
      <c r="A14" s="5" t="s">
        <v>570</v>
      </c>
      <c r="B14" s="5" t="s">
        <v>126</v>
      </c>
      <c r="C14" s="5" t="s">
        <v>125</v>
      </c>
      <c r="D14" s="5" t="s">
        <v>120</v>
      </c>
      <c r="E14" s="14">
        <v>85</v>
      </c>
      <c r="F14" s="5"/>
      <c r="G14" s="5">
        <f>IF(E14&lt;&gt;"",E14,IF(F14="","",F14))</f>
        <v>85.0</v>
      </c>
      <c r="H14" s="20" t="s">
        <v>572</v>
      </c>
      <c r="I14" s="21" t="str">
        <f>IF(TRUE*ISNUMBER(G14)*(N(G14)&gt;0)*(N(G14)&lt;1),"⚠ En % : saisir 62 pour 62 %",IF(G14&lt;&gt;"","✔ Renseigné",IF(OR(COUNTIFS(P_Criteres!$F$5:$F$64,B14,P_Criteres!$G$5:$G$64,"Oui")&gt;0,COUNTIFS(P_Criteres!$F$5:$F$64,B14,P_Criteres!$K$5:$K$64,"Oui")&gt;0,B14=P_ExtraKey),"⚠ Manquant — décisionnel","○ Non renseigné")))</f>
        <v>✔ Renseigné</v>
      </c>
    </row>
    <row r="15" spans="1:9">
      <c r="A15" s="5" t="s">
        <v>570</v>
      </c>
      <c r="B15" s="5" t="s">
        <v>130</v>
      </c>
      <c r="C15" s="5" t="s">
        <v>128</v>
      </c>
      <c r="D15" s="5" t="s">
        <v>129</v>
      </c>
      <c r="E15" s="14" t="s">
        <v>260</v>
      </c>
      <c r="F15" s="5"/>
      <c r="G15" s="5" t="str">
        <f>IF(E15&lt;&gt;"",IF(SUMPRODUCT((P_Baremes!$A$5:$A$400="D1C3")*(P_Baremes!$F$5:$F$400=E15))&gt;0,INDEX(P_Baremes!$C$5:$C$400,SUMPRODUCT(MAX((P_Baremes!$A$5:$A$400="D1C3")*(P_Baremes!$F$5:$F$400=E15)*(ROW(P_Baremes!$A$5:$A$400)-4)))),E15),IF(F15="","",F15))</f>
        <v>claire</v>
      </c>
      <c r="H15" s="20" t="s">
        <v>573</v>
      </c>
      <c r="I15" s="21" t="str">
        <f>IF(FALSE*ISNUMBER(G15)*(N(G15)&gt;0)*(N(G15)&lt;1),"⚠ En % : saisir 62 pour 62 %",IF(AND(E15&lt;&gt;"",COUNTIFS(P_Baremes!$A$5:$A$400,"D1C3",P_Baremes!$C$5:$C$400,G15)=0),"⚠ Valeur hors liste",IF(G15&lt;&gt;"","✔ Renseigné",IF(OR(COUNTIFS(P_Criteres!$F$5:$F$64,B15,P_Criteres!$G$5:$G$64,"Oui")&gt;0,COUNTIFS(P_Criteres!$F$5:$F$64,B15,P_Criteres!$K$5:$K$64,"Oui")&gt;0,B15=P_ExtraKey),"⚠ Manquant — décisionnel","○ Non renseigné"))))</f>
        <v>✔ Renseigné</v>
      </c>
    </row>
    <row r="16" spans="1:9">
      <c r="A16" s="5" t="s">
        <v>570</v>
      </c>
      <c r="B16" s="5" t="s">
        <v>134</v>
      </c>
      <c r="C16" s="5" t="s">
        <v>133</v>
      </c>
      <c r="D16" s="5" t="s">
        <v>120</v>
      </c>
      <c r="E16" s="14">
        <v>35</v>
      </c>
      <c r="F16" s="5"/>
      <c r="G16" s="5">
        <f>IF(E16&lt;&gt;"",E16,IF(F16="","",F16))</f>
        <v>35.0</v>
      </c>
      <c r="H16" s="20" t="s">
        <v>574</v>
      </c>
      <c r="I16" s="21" t="str">
        <f>IF(TRUE*ISNUMBER(G16)*(N(G16)&gt;0)*(N(G16)&lt;1),"⚠ En % : saisir 62 pour 62 %",IF(G16&lt;&gt;"","✔ Renseigné",IF(OR(COUNTIFS(P_Criteres!$F$5:$F$64,B16,P_Criteres!$G$5:$G$64,"Oui")&gt;0,COUNTIFS(P_Criteres!$F$5:$F$64,B16,P_Criteres!$K$5:$K$64,"Oui")&gt;0,B16=P_ExtraKey),"⚠ Manquant — décisionnel","○ Non renseigné")))</f>
        <v>✔ Renseigné</v>
      </c>
    </row>
    <row r="17" spans="1:9">
      <c r="A17" s="5" t="s">
        <v>570</v>
      </c>
      <c r="B17" s="5" t="s">
        <v>137</v>
      </c>
      <c r="C17" s="5" t="s">
        <v>136</v>
      </c>
      <c r="D17" s="5" t="s">
        <v>129</v>
      </c>
      <c r="E17" s="14" t="s">
        <v>269</v>
      </c>
      <c r="F17" s="5"/>
      <c r="G17" s="5" t="str">
        <f>IF(E17&lt;&gt;"",IF(SUMPRODUCT((P_Baremes!$A$5:$A$400="D1C5")*(P_Baremes!$F$5:$F$400=E17))&gt;0,INDEX(P_Baremes!$C$5:$C$400,SUMPRODUCT(MAX((P_Baremes!$A$5:$A$400="D1C5")*(P_Baremes!$F$5:$F$400=E17)*(ROW(P_Baremes!$A$5:$A$400)-4)))),E17),IF(F17="","",F17))</f>
        <v>structure</v>
      </c>
      <c r="H17" s="20" t="s">
        <v>573</v>
      </c>
      <c r="I17" s="21" t="str">
        <f>IF(FALSE*ISNUMBER(G17)*(N(G17)&gt;0)*(N(G17)&lt;1),"⚠ En % : saisir 62 pour 62 %",IF(AND(E17&lt;&gt;"",COUNTIFS(P_Baremes!$A$5:$A$400,"D1C5",P_Baremes!$C$5:$C$400,G17)=0),"⚠ Valeur hors liste",IF(G17&lt;&gt;"","✔ Renseigné",IF(OR(COUNTIFS(P_Criteres!$F$5:$F$64,B17,P_Criteres!$G$5:$G$64,"Oui")&gt;0,COUNTIFS(P_Criteres!$F$5:$F$64,B17,P_Criteres!$K$5:$K$64,"Oui")&gt;0,B17=P_ExtraKey),"⚠ Manquant — décisionnel","○ Non renseigné"))))</f>
        <v>✔ Renseigné</v>
      </c>
    </row>
    <row r="18" spans="1:9">
      <c r="A18" s="5" t="s">
        <v>570</v>
      </c>
      <c r="B18" s="5" t="s">
        <v>140</v>
      </c>
      <c r="C18" s="5" t="s">
        <v>139</v>
      </c>
      <c r="D18" s="5" t="s">
        <v>120</v>
      </c>
      <c r="E18" s="14">
        <v>100</v>
      </c>
      <c r="F18" s="5"/>
      <c r="G18" s="5">
        <f>IF(E18&lt;&gt;"",E18,IF(F18="","",F18))</f>
        <v>100.0</v>
      </c>
      <c r="H18" s="20" t="s">
        <v>575</v>
      </c>
      <c r="I18" s="21" t="str">
        <f>IF(TRUE*ISNUMBER(G18)*(N(G18)&gt;0)*(N(G18)&lt;1),"⚠ En % : saisir 62 pour 62 %",IF(G18&lt;&gt;"","✔ Renseigné",IF(OR(COUNTIFS(P_Criteres!$F$5:$F$64,B18,P_Criteres!$G$5:$G$64,"Oui")&gt;0,COUNTIFS(P_Criteres!$F$5:$F$64,B18,P_Criteres!$K$5:$K$64,"Oui")&gt;0,B18=P_ExtraKey),"⚠ Manquant — décisionnel","○ Non renseigné")))</f>
        <v>✔ Renseigné</v>
      </c>
    </row>
    <row r="19" spans="1:9">
      <c r="A19" s="5" t="s">
        <v>576</v>
      </c>
      <c r="B19" s="5" t="s">
        <v>144</v>
      </c>
      <c r="C19" s="5" t="s">
        <v>143</v>
      </c>
      <c r="D19" s="5" t="s">
        <v>129</v>
      </c>
      <c r="E19" s="14" t="s">
        <v>278</v>
      </c>
      <c r="F19" s="5"/>
      <c r="G19" s="5" t="str">
        <f>IF(E19&lt;&gt;"",IF(SUMPRODUCT((P_Baremes!$A$5:$A$400="D2C1")*(P_Baremes!$F$5:$F$400=E19))&gt;0,INDEX(P_Baremes!$C$5:$C$400,SUMPRODUCT(MAX((P_Baremes!$A$5:$A$400="D2C1")*(P_Baremes!$F$5:$F$400=E19)*(ROW(P_Baremes!$A$5:$A$400)-4)))),E19),IF(F19="","",F19))</f>
        <v>definitives</v>
      </c>
      <c r="H19" s="20" t="s">
        <v>573</v>
      </c>
      <c r="I19" s="21" t="str">
        <f>IF(FALSE*ISNUMBER(G19)*(N(G19)&gt;0)*(N(G19)&lt;1),"⚠ En % : saisir 62 pour 62 %",IF(AND(E19&lt;&gt;"",COUNTIFS(P_Baremes!$A$5:$A$400,"D2C1",P_Baremes!$C$5:$C$400,G19)=0),"⚠ Valeur hors liste",IF(G19&lt;&gt;"","✔ Renseigné",IF(OR(COUNTIFS(P_Criteres!$F$5:$F$64,B19,P_Criteres!$G$5:$G$64,"Oui")&gt;0,COUNTIFS(P_Criteres!$F$5:$F$64,B19,P_Criteres!$K$5:$K$64,"Oui")&gt;0,B19=P_ExtraKey),"⚠ Manquant — décisionnel","○ Non renseigné"))))</f>
        <v>✔ Renseigné</v>
      </c>
    </row>
    <row r="20" spans="1:9">
      <c r="A20" s="5" t="s">
        <v>576</v>
      </c>
      <c r="B20" s="5" t="s">
        <v>148</v>
      </c>
      <c r="C20" s="5" t="s">
        <v>147</v>
      </c>
      <c r="D20" s="5" t="s">
        <v>129</v>
      </c>
      <c r="E20" s="14" t="s">
        <v>284</v>
      </c>
      <c r="F20" s="5"/>
      <c r="G20" s="5" t="str">
        <f>IF(E20&lt;&gt;"",IF(SUMPRODUCT((P_Baremes!$A$5:$A$400="D2C2")*(P_Baremes!$F$5:$F$400=E20))&gt;0,INDEX(P_Baremes!$C$5:$C$400,SUMPRODUCT(MAX((P_Baremes!$A$5:$A$400="D2C2")*(P_Baremes!$F$5:$F$400=E20)*(ROW(P_Baremes!$A$5:$A$400)-4)))),E20),IF(F20="","",F20))</f>
        <v>aligne</v>
      </c>
      <c r="H20" s="20" t="s">
        <v>573</v>
      </c>
      <c r="I20" s="21" t="str">
        <f>IF(FALSE*ISNUMBER(G20)*(N(G20)&gt;0)*(N(G20)&lt;1),"⚠ En % : saisir 62 pour 62 %",IF(AND(E20&lt;&gt;"",COUNTIFS(P_Baremes!$A$5:$A$400,"D2C2",P_Baremes!$C$5:$C$400,G20)=0),"⚠ Valeur hors liste",IF(G20&lt;&gt;"","✔ Renseigné",IF(OR(COUNTIFS(P_Criteres!$F$5:$F$64,B20,P_Criteres!$G$5:$G$64,"Oui")&gt;0,COUNTIFS(P_Criteres!$F$5:$F$64,B20,P_Criteres!$K$5:$K$64,"Oui")&gt;0,B20=P_ExtraKey),"⚠ Manquant — décisionnel","○ Non renseigné"))))</f>
        <v>✔ Renseigné</v>
      </c>
    </row>
    <row r="21" spans="1:9">
      <c r="A21" s="5" t="s">
        <v>576</v>
      </c>
      <c r="B21" s="5" t="s">
        <v>151</v>
      </c>
      <c r="C21" s="5" t="s">
        <v>150</v>
      </c>
      <c r="D21" s="5" t="s">
        <v>129</v>
      </c>
      <c r="E21" s="14" t="s">
        <v>290</v>
      </c>
      <c r="F21" s="5"/>
      <c r="G21" s="5" t="str">
        <f>IF(E21&lt;&gt;"",IF(SUMPRODUCT((P_Baremes!$A$5:$A$400="D2C3")*(P_Baremes!$F$5:$F$400=E21))&gt;0,INDEX(P_Baremes!$C$5:$C$400,SUMPRODUCT(MAX((P_Baremes!$A$5:$A$400="D2C3")*(P_Baremes!$F$5:$F$400=E21)*(ROW(P_Baremes!$A$5:$A$400)-4)))),E21),IF(F21="","",F21))</f>
        <v>standard</v>
      </c>
      <c r="H21" s="20" t="s">
        <v>573</v>
      </c>
      <c r="I21" s="21" t="str">
        <f>IF(FALSE*ISNUMBER(G21)*(N(G21)&gt;0)*(N(G21)&lt;1),"⚠ En % : saisir 62 pour 62 %",IF(AND(E21&lt;&gt;"",COUNTIFS(P_Baremes!$A$5:$A$400,"D2C3",P_Baremes!$C$5:$C$400,G21)=0),"⚠ Valeur hors liste",IF(G21&lt;&gt;"","✔ Renseigné",IF(OR(COUNTIFS(P_Criteres!$F$5:$F$64,B21,P_Criteres!$G$5:$G$64,"Oui")&gt;0,COUNTIFS(P_Criteres!$F$5:$F$64,B21,P_Criteres!$K$5:$K$64,"Oui")&gt;0,B21=P_ExtraKey),"⚠ Manquant — décisionnel","○ Non renseigné"))))</f>
        <v>✔ Renseigné</v>
      </c>
    </row>
    <row r="22" spans="1:9">
      <c r="A22" s="5" t="s">
        <v>576</v>
      </c>
      <c r="B22" s="5" t="s">
        <v>154</v>
      </c>
      <c r="C22" s="5" t="s">
        <v>153</v>
      </c>
      <c r="D22" s="5" t="s">
        <v>120</v>
      </c>
      <c r="E22" s="14">
        <v>100</v>
      </c>
      <c r="F22" s="5"/>
      <c r="G22" s="5">
        <f>IF(E22&lt;&gt;"",E22,IF(F22="","",F22))</f>
        <v>100.0</v>
      </c>
      <c r="H22" s="20" t="s">
        <v>575</v>
      </c>
      <c r="I22" s="21" t="str">
        <f>IF(TRUE*ISNUMBER(G22)*(N(G22)&gt;0)*(N(G22)&lt;1),"⚠ En % : saisir 62 pour 62 %",IF(G22&lt;&gt;"","✔ Renseigné",IF(OR(COUNTIFS(P_Criteres!$F$5:$F$64,B22,P_Criteres!$G$5:$G$64,"Oui")&gt;0,COUNTIFS(P_Criteres!$F$5:$F$64,B22,P_Criteres!$K$5:$K$64,"Oui")&gt;0,B22=P_ExtraKey),"⚠ Manquant — décisionnel","○ Non renseigné")))</f>
        <v>✔ Renseigné</v>
      </c>
    </row>
    <row r="23" spans="1:9">
      <c r="A23" s="5" t="s">
        <v>576</v>
      </c>
      <c r="B23" s="5" t="s">
        <v>157</v>
      </c>
      <c r="C23" s="5" t="s">
        <v>156</v>
      </c>
      <c r="D23" s="5" t="s">
        <v>129</v>
      </c>
      <c r="E23" s="14" t="s">
        <v>295</v>
      </c>
      <c r="F23" s="5"/>
      <c r="G23" s="5" t="str">
        <f>IF(E23&lt;&gt;"",IF(SUMPRODUCT((P_Baremes!$A$5:$A$400="D2C5")*(P_Baremes!$F$5:$F$400=E23))&gt;0,INDEX(P_Baremes!$C$5:$C$400,SUMPRODUCT(MAX((P_Baremes!$A$5:$A$400="D2C5")*(P_Baremes!$F$5:$F$400=E23)*(ROW(P_Baremes!$A$5:$A$400)-4)))),E23),IF(F23="","",F23))</f>
        <v>faible</v>
      </c>
      <c r="H23" s="20" t="s">
        <v>573</v>
      </c>
      <c r="I23" s="21" t="str">
        <f>IF(FALSE*ISNUMBER(G23)*(N(G23)&gt;0)*(N(G23)&lt;1),"⚠ En % : saisir 62 pour 62 %",IF(AND(E23&lt;&gt;"",COUNTIFS(P_Baremes!$A$5:$A$400,"D2C5",P_Baremes!$C$5:$C$400,G23)=0),"⚠ Valeur hors liste",IF(G23&lt;&gt;"","✔ Renseigné",IF(OR(COUNTIFS(P_Criteres!$F$5:$F$64,B23,P_Criteres!$G$5:$G$64,"Oui")&gt;0,COUNTIFS(P_Criteres!$F$5:$F$64,B23,P_Criteres!$K$5:$K$64,"Oui")&gt;0,B23=P_ExtraKey),"⚠ Manquant — décisionnel","○ Non renseigné"))))</f>
        <v>✔ Renseigné</v>
      </c>
    </row>
    <row r="24" spans="1:9">
      <c r="A24" s="5" t="s">
        <v>576</v>
      </c>
      <c r="B24" s="5" t="s">
        <v>160</v>
      </c>
      <c r="C24" s="5" t="s">
        <v>159</v>
      </c>
      <c r="D24" s="5" t="s">
        <v>129</v>
      </c>
      <c r="E24" s="14" t="s">
        <v>295</v>
      </c>
      <c r="F24" s="5"/>
      <c r="G24" s="5" t="str">
        <f>IF(E24&lt;&gt;"",IF(SUMPRODUCT((P_Baremes!$A$5:$A$400="D2C6")*(P_Baremes!$F$5:$F$400=E24))&gt;0,INDEX(P_Baremes!$C$5:$C$400,SUMPRODUCT(MAX((P_Baremes!$A$5:$A$400="D2C6")*(P_Baremes!$F$5:$F$400=E24)*(ROW(P_Baremes!$A$5:$A$400)-4)))),E24),IF(F24="","",F24))</f>
        <v>faible</v>
      </c>
      <c r="H24" s="20" t="s">
        <v>573</v>
      </c>
      <c r="I24" s="21" t="str">
        <f>IF(FALSE*ISNUMBER(G24)*(N(G24)&gt;0)*(N(G24)&lt;1),"⚠ En % : saisir 62 pour 62 %",IF(AND(E24&lt;&gt;"",COUNTIFS(P_Baremes!$A$5:$A$400,"D2C6",P_Baremes!$C$5:$C$400,G24)=0),"⚠ Valeur hors liste",IF(G24&lt;&gt;"","✔ Renseigné",IF(OR(COUNTIFS(P_Criteres!$F$5:$F$64,B24,P_Criteres!$G$5:$G$64,"Oui")&gt;0,COUNTIFS(P_Criteres!$F$5:$F$64,B24,P_Criteres!$K$5:$K$64,"Oui")&gt;0,B24=P_ExtraKey),"⚠ Manquant — décisionnel","○ Non renseigné"))))</f>
        <v>✔ Renseigné</v>
      </c>
    </row>
    <row r="25" spans="1:9">
      <c r="A25" s="5" t="s">
        <v>576</v>
      </c>
      <c r="B25" s="5" t="s">
        <v>163</v>
      </c>
      <c r="C25" s="5" t="s">
        <v>162</v>
      </c>
      <c r="D25" s="5" t="s">
        <v>120</v>
      </c>
      <c r="E25" s="14">
        <v>22</v>
      </c>
      <c r="F25" s="5"/>
      <c r="G25" s="5">
        <f>IF(E25&lt;&gt;"",E25,IF(F25="","",F25))</f>
        <v>22.0</v>
      </c>
      <c r="H25" s="20" t="s">
        <v>577</v>
      </c>
      <c r="I25" s="21" t="str">
        <f>IF(TRUE*ISNUMBER(G25)*(N(G25)&gt;0)*(N(G25)&lt;1),"⚠ En % : saisir 62 pour 62 %",IF(G25&lt;&gt;"","✔ Renseigné",IF(OR(COUNTIFS(P_Criteres!$F$5:$F$64,B25,P_Criteres!$G$5:$G$64,"Oui")&gt;0,COUNTIFS(P_Criteres!$F$5:$F$64,B25,P_Criteres!$K$5:$K$64,"Oui")&gt;0,B25=P_ExtraKey),"⚠ Manquant — décisionnel","○ Non renseigné")))</f>
        <v>✔ Renseigné</v>
      </c>
    </row>
    <row r="26" spans="1:9">
      <c r="A26" s="5" t="s">
        <v>576</v>
      </c>
      <c r="B26" s="5" t="s">
        <v>166</v>
      </c>
      <c r="C26" s="5" t="s">
        <v>165</v>
      </c>
      <c r="D26" s="5" t="s">
        <v>120</v>
      </c>
      <c r="E26" s="14">
        <v>100</v>
      </c>
      <c r="F26" s="5">
        <f>IF(Calc_Actif,IF(Calculateurs!C35,Calculateurs!C33,""),"")</f>
        <v/>
      </c>
      <c r="G26" s="5">
        <f>IF(E26&lt;&gt;"",E26,IF(F26="","",F26))</f>
        <v>100.0</v>
      </c>
      <c r="H26" s="20" t="s">
        <v>578</v>
      </c>
      <c r="I26" s="21" t="str">
        <f>IF(TRUE*ISNUMBER(G26)*(N(G26)&gt;0)*(N(G26)&lt;1),"⚠ En % : saisir 62 pour 62 %",IF(G26&lt;&gt;"","✔ Renseigné",IF(OR(COUNTIFS(P_Criteres!$F$5:$F$64,B26,P_Criteres!$G$5:$G$64,"Oui")&gt;0,COUNTIFS(P_Criteres!$F$5:$F$64,B26,P_Criteres!$K$5:$K$64,"Oui")&gt;0,B26=P_ExtraKey),"⚠ Manquant — décisionnel","○ Non renseigné")))</f>
        <v>✔ Renseigné</v>
      </c>
    </row>
    <row r="27" spans="1:9">
      <c r="A27" s="5" t="s">
        <v>576</v>
      </c>
      <c r="B27" s="5" t="s">
        <v>170</v>
      </c>
      <c r="C27" s="5" t="s">
        <v>169</v>
      </c>
      <c r="D27" s="5" t="s">
        <v>129</v>
      </c>
      <c r="E27" s="14" t="s">
        <v>307</v>
      </c>
      <c r="F27" s="5"/>
      <c r="G27" s="5" t="str">
        <f>IF(E27&lt;&gt;"",IF(SUMPRODUCT((P_Baremes!$A$5:$A$400="D2C9")*(P_Baremes!$F$5:$F$400=E27))&gt;0,INDEX(P_Baremes!$C$5:$C$400,SUMPRODUCT(MAX((P_Baremes!$A$5:$A$400="D2C9")*(P_Baremes!$F$5:$F$400=E27)*(ROW(P_Baremes!$A$5:$A$400)-4)))),E27),IF(F27="","",F27))</f>
        <v>porteur</v>
      </c>
      <c r="H27" s="20" t="s">
        <v>573</v>
      </c>
      <c r="I27" s="21" t="str">
        <f>IF(FALSE*ISNUMBER(G27)*(N(G27)&gt;0)*(N(G27)&lt;1),"⚠ En % : saisir 62 pour 62 %",IF(AND(E27&lt;&gt;"",COUNTIFS(P_Baremes!$A$5:$A$400,"D2C9",P_Baremes!$C$5:$C$400,G27)=0),"⚠ Valeur hors liste",IF(G27&lt;&gt;"","✔ Renseigné",IF(OR(COUNTIFS(P_Criteres!$F$5:$F$64,B27,P_Criteres!$G$5:$G$64,"Oui")&gt;0,COUNTIFS(P_Criteres!$F$5:$F$64,B27,P_Criteres!$K$5:$K$64,"Oui")&gt;0,B27=P_ExtraKey),"⚠ Manquant — décisionnel","○ Non renseigné"))))</f>
        <v>✔ Renseigné</v>
      </c>
    </row>
    <row r="28" spans="1:9">
      <c r="A28" s="5" t="s">
        <v>576</v>
      </c>
      <c r="B28" s="5" t="s">
        <v>173</v>
      </c>
      <c r="C28" s="5" t="s">
        <v>172</v>
      </c>
      <c r="D28" s="5" t="s">
        <v>129</v>
      </c>
      <c r="E28" s="14" t="s">
        <v>313</v>
      </c>
      <c r="F28" s="5"/>
      <c r="G28" s="5" t="str">
        <f>IF(E28&lt;&gt;"",IF(SUMPRODUCT((P_Baremes!$A$5:$A$400="D2C10")*(P_Baremes!$F$5:$F$400=E28))&gt;0,INDEX(P_Baremes!$C$5:$C$400,SUMPRODUCT(MAX((P_Baremes!$A$5:$A$400="D2C10")*(P_Baremes!$F$5:$F$400=E28)*(ROW(P_Baremes!$A$5:$A$400)-4)))),E28),IF(F28="","",F28))</f>
        <v>qualifiee_garantie</v>
      </c>
      <c r="H28" s="20" t="s">
        <v>573</v>
      </c>
      <c r="I28" s="21" t="str">
        <f>IF(FALSE*ISNUMBER(G28)*(N(G28)&gt;0)*(N(G28)&lt;1),"⚠ En % : saisir 62 pour 62 %",IF(AND(E28&lt;&gt;"",COUNTIFS(P_Baremes!$A$5:$A$400,"D2C10",P_Baremes!$C$5:$C$400,G28)=0),"⚠ Valeur hors liste",IF(G28&lt;&gt;"","✔ Renseigné",IF(OR(COUNTIFS(P_Criteres!$F$5:$F$64,B28,P_Criteres!$G$5:$G$64,"Oui")&gt;0,COUNTIFS(P_Criteres!$F$5:$F$64,B28,P_Criteres!$K$5:$K$64,"Oui")&gt;0,B28=P_ExtraKey),"⚠ Manquant — décisionnel","○ Non renseigné"))))</f>
        <v>✔ Renseigné</v>
      </c>
    </row>
    <row r="29" spans="1:9">
      <c r="A29" s="5" t="s">
        <v>576</v>
      </c>
      <c r="B29" s="5" t="s">
        <v>176</v>
      </c>
      <c r="C29" s="5" t="s">
        <v>175</v>
      </c>
      <c r="D29" s="5" t="s">
        <v>120</v>
      </c>
      <c r="E29" s="14">
        <v>0</v>
      </c>
      <c r="F29" s="5">
        <f>IF(Calc_Actif,Calculateurs!C173,"")</f>
        <v/>
      </c>
      <c r="G29" s="5">
        <f>IF(E29&lt;&gt;"",E29,IF(F29="","",F29))</f>
        <v>0.0</v>
      </c>
      <c r="H29" s="20" t="s">
        <v>579</v>
      </c>
      <c r="I29" s="21" t="str">
        <f>IF(TRUE*ISNUMBER(G29)*(N(G29)&gt;0)*(N(G29)&lt;1),"⚠ En % : saisir 62 pour 62 %",IF(G29&lt;&gt;"","✔ Renseigné",IF(OR(COUNTIFS(P_Criteres!$F$5:$F$64,B29,P_Criteres!$G$5:$G$64,"Oui")&gt;0,COUNTIFS(P_Criteres!$F$5:$F$64,B29,P_Criteres!$K$5:$K$64,"Oui")&gt;0,B29=P_ExtraKey),"⚠ Manquant — décisionnel","○ Non renseigné")))</f>
        <v>✔ Renseigné</v>
      </c>
    </row>
    <row r="30" spans="1:9">
      <c r="A30" s="5" t="s">
        <v>576</v>
      </c>
      <c r="B30" s="5" t="s">
        <v>179</v>
      </c>
      <c r="C30" s="5" t="s">
        <v>178</v>
      </c>
      <c r="D30" s="5" t="s">
        <v>129</v>
      </c>
      <c r="E30" s="14" t="s">
        <v>324</v>
      </c>
      <c r="F30" s="5"/>
      <c r="G30" s="5" t="str">
        <f>IF(E30&lt;&gt;"",IF(SUMPRODUCT((P_Baremes!$A$5:$A$400="D2C12")*(P_Baremes!$F$5:$F$400=E30))&gt;0,INDEX(P_Baremes!$C$5:$C$400,SUMPRODUCT(MAX((P_Baremes!$A$5:$A$400="D2C12")*(P_Baremes!$F$5:$F$400=E30)*(ROW(P_Baremes!$A$5:$A$400)-4)))),E30),IF(F30="","",F30))</f>
        <v>programme_entier</v>
      </c>
      <c r="H30" s="20" t="s">
        <v>573</v>
      </c>
      <c r="I30" s="21" t="str">
        <f>IF(FALSE*ISNUMBER(G30)*(N(G30)&gt;0)*(N(G30)&lt;1),"⚠ En % : saisir 62 pour 62 %",IF(AND(E30&lt;&gt;"",COUNTIFS(P_Baremes!$A$5:$A$400,"D2C12",P_Baremes!$C$5:$C$400,G30)=0),"⚠ Valeur hors liste",IF(G30&lt;&gt;"","✔ Renseigné",IF(OR(COUNTIFS(P_Criteres!$F$5:$F$64,B30,P_Criteres!$G$5:$G$64,"Oui")&gt;0,COUNTIFS(P_Criteres!$F$5:$F$64,B30,P_Criteres!$K$5:$K$64,"Oui")&gt;0,B30=P_ExtraKey),"⚠ Manquant — décisionnel","○ Non renseigné"))))</f>
        <v>✔ Renseigné</v>
      </c>
    </row>
    <row r="31" spans="1:9">
      <c r="A31" s="5" t="s">
        <v>580</v>
      </c>
      <c r="B31" s="5" t="s">
        <v>182</v>
      </c>
      <c r="C31" s="5" t="s">
        <v>181</v>
      </c>
      <c r="D31" s="5" t="s">
        <v>120</v>
      </c>
      <c r="E31" s="14">
        <v>62</v>
      </c>
      <c r="F31" s="5"/>
      <c r="G31" s="5">
        <f>IF(E31&lt;&gt;"",E31,IF(F31="","",F31))</f>
        <v>62.0</v>
      </c>
      <c r="H31" s="20" t="s">
        <v>581</v>
      </c>
      <c r="I31" s="21" t="str">
        <f>IF(TRUE*ISNUMBER(G31)*(N(G31)&gt;0)*(N(G31)&lt;1),"⚠ En % : saisir 62 pour 62 %",IF(G31&lt;&gt;"","✔ Renseigné",IF(OR(COUNTIFS(P_Criteres!$F$5:$F$64,B31,P_Criteres!$G$5:$G$64,"Oui")&gt;0,COUNTIFS(P_Criteres!$F$5:$F$64,B31,P_Criteres!$K$5:$K$64,"Oui")&gt;0,B31=P_ExtraKey),"⚠ Manquant — décisionnel","○ Non renseigné")))</f>
        <v>✔ Renseigné</v>
      </c>
    </row>
    <row r="32" spans="1:9">
      <c r="A32" s="5" t="s">
        <v>580</v>
      </c>
      <c r="B32" s="5" t="s">
        <v>185</v>
      </c>
      <c r="C32" s="5" t="s">
        <v>184</v>
      </c>
      <c r="D32" s="5" t="s">
        <v>120</v>
      </c>
      <c r="E32" s="14">
        <v>100</v>
      </c>
      <c r="F32" s="5"/>
      <c r="G32" s="5">
        <f>IF(E32&lt;&gt;"",E32,IF(F32="","",F32))</f>
        <v>100.0</v>
      </c>
      <c r="H32" s="20" t="s">
        <v>575</v>
      </c>
      <c r="I32" s="21" t="str">
        <f>IF(TRUE*ISNUMBER(G32)*(N(G32)&gt;0)*(N(G32)&lt;1),"⚠ En % : saisir 62 pour 62 %",IF(G32&lt;&gt;"","✔ Renseigné",IF(OR(COUNTIFS(P_Criteres!$F$5:$F$64,B32,P_Criteres!$G$5:$G$64,"Oui")&gt;0,COUNTIFS(P_Criteres!$F$5:$F$64,B32,P_Criteres!$K$5:$K$64,"Oui")&gt;0,B32=P_ExtraKey),"⚠ Manquant — décisionnel","○ Non renseigné")))</f>
        <v>✔ Renseigné</v>
      </c>
    </row>
    <row r="33" spans="1:9">
      <c r="A33" s="5" t="s">
        <v>580</v>
      </c>
      <c r="B33" s="5" t="s">
        <v>188</v>
      </c>
      <c r="C33" s="5" t="s">
        <v>187</v>
      </c>
      <c r="D33" s="5" t="s">
        <v>120</v>
      </c>
      <c r="E33" s="14">
        <v>90</v>
      </c>
      <c r="F33" s="5"/>
      <c r="G33" s="5">
        <f>IF(E33&lt;&gt;"",E33,IF(F33="","",F33))</f>
        <v>90.0</v>
      </c>
      <c r="H33" s="20" t="s">
        <v>582</v>
      </c>
      <c r="I33" s="21" t="str">
        <f>IF(FALSE*ISNUMBER(G33)*(N(G33)&gt;0)*(N(G33)&lt;1),"⚠ En % : saisir 62 pour 62 %",IF(G33&lt;&gt;"","✔ Renseigné",IF(OR(COUNTIFS(P_Criteres!$F$5:$F$64,B33,P_Criteres!$G$5:$G$64,"Oui")&gt;0,COUNTIFS(P_Criteres!$F$5:$F$64,B33,P_Criteres!$K$5:$K$64,"Oui")&gt;0,B33=P_ExtraKey),"⚠ Manquant — décisionnel","○ Non renseigné")))</f>
        <v>✔ Renseigné</v>
      </c>
    </row>
    <row r="34" spans="1:9">
      <c r="A34" s="5" t="s">
        <v>580</v>
      </c>
      <c r="B34" s="5" t="s">
        <v>191</v>
      </c>
      <c r="C34" s="5" t="s">
        <v>190</v>
      </c>
      <c r="D34" s="5" t="s">
        <v>120</v>
      </c>
      <c r="E34" s="14">
        <v>0.99</v>
      </c>
      <c r="F34" s="5"/>
      <c r="G34" s="5">
        <f>IF(E34&lt;&gt;"",E34,IF(F34="","",F34))</f>
        <v>0.99</v>
      </c>
      <c r="H34" s="20" t="s">
        <v>583</v>
      </c>
      <c r="I34" s="21" t="str">
        <f>IF(FALSE*ISNUMBER(G34)*(N(G34)&gt;0)*(N(G34)&lt;1),"⚠ En % : saisir 62 pour 62 %",IF(G34&lt;&gt;"","✔ Renseigné",IF(OR(COUNTIFS(P_Criteres!$F$5:$F$64,B34,P_Criteres!$G$5:$G$64,"Oui")&gt;0,COUNTIFS(P_Criteres!$F$5:$F$64,B34,P_Criteres!$K$5:$K$64,"Oui")&gt;0,B34=P_ExtraKey),"⚠ Manquant — décisionnel","○ Non renseigné")))</f>
        <v>✔ Renseigné</v>
      </c>
    </row>
    <row r="35" spans="1:9">
      <c r="A35" s="5" t="s">
        <v>580</v>
      </c>
      <c r="B35" s="5" t="s">
        <v>194</v>
      </c>
      <c r="C35" s="5" t="s">
        <v>193</v>
      </c>
      <c r="D35" s="5" t="s">
        <v>120</v>
      </c>
      <c r="E35" s="14">
        <v>0</v>
      </c>
      <c r="F35" s="5"/>
      <c r="G35" s="5">
        <f>IF(E35&lt;&gt;"",E35,IF(F35="","",F35))</f>
        <v>0.0</v>
      </c>
      <c r="H35" s="20" t="s">
        <v>584</v>
      </c>
      <c r="I35" s="21" t="str">
        <f>IF(TRUE*ISNUMBER(G35)*(N(G35)&gt;0)*(N(G35)&lt;1),"⚠ En % : saisir 62 pour 62 %",IF(G35&lt;&gt;"","✔ Renseigné",IF(OR(COUNTIFS(P_Criteres!$F$5:$F$64,B35,P_Criteres!$G$5:$G$64,"Oui")&gt;0,COUNTIFS(P_Criteres!$F$5:$F$64,B35,P_Criteres!$K$5:$K$64,"Oui")&gt;0,B35=P_ExtraKey),"⚠ Manquant — décisionnel","○ Non renseigné")))</f>
        <v>✔ Renseigné</v>
      </c>
    </row>
    <row r="36" spans="1:9">
      <c r="A36" s="5" t="s">
        <v>580</v>
      </c>
      <c r="B36" s="5" t="s">
        <v>197</v>
      </c>
      <c r="C36" s="5" t="s">
        <v>196</v>
      </c>
      <c r="D36" s="5" t="s">
        <v>120</v>
      </c>
      <c r="E36" s="14">
        <v>16</v>
      </c>
      <c r="F36" s="5"/>
      <c r="G36" s="5">
        <f>IF(E36&lt;&gt;"",E36,IF(F36="","",F36))</f>
        <v>16.0</v>
      </c>
      <c r="H36" s="20" t="s">
        <v>585</v>
      </c>
      <c r="I36" s="21" t="str">
        <f>IF(FALSE*ISNUMBER(G36)*(N(G36)&gt;0)*(N(G36)&lt;1),"⚠ En % : saisir 62 pour 62 %",IF(G36&lt;&gt;"","✔ Renseigné",IF(OR(COUNTIFS(P_Criteres!$F$5:$F$64,B36,P_Criteres!$G$5:$G$64,"Oui")&gt;0,COUNTIFS(P_Criteres!$F$5:$F$64,B36,P_Criteres!$K$5:$K$64,"Oui")&gt;0,B36=P_ExtraKey),"⚠ Manquant — décisionnel","○ Non renseigné")))</f>
        <v>✔ Renseigné</v>
      </c>
    </row>
    <row r="37" spans="1:9">
      <c r="A37" s="5" t="s">
        <v>580</v>
      </c>
      <c r="B37" s="5" t="s">
        <v>200</v>
      </c>
      <c r="C37" s="5" t="s">
        <v>199</v>
      </c>
      <c r="D37" s="5" t="s">
        <v>120</v>
      </c>
      <c r="E37" s="14">
        <v>18</v>
      </c>
      <c r="F37" s="5"/>
      <c r="G37" s="5">
        <f>IF(E37&lt;&gt;"",E37,IF(F37="","",F37))</f>
        <v>18.0</v>
      </c>
      <c r="H37" s="20" t="s">
        <v>586</v>
      </c>
      <c r="I37" s="21" t="str">
        <f>IF(TRUE*ISNUMBER(G37)*(N(G37)&gt;0)*(N(G37)&lt;1),"⚠ En % : saisir 62 pour 62 %",IF(G37&lt;&gt;"","✔ Renseigné",IF(OR(COUNTIFS(P_Criteres!$F$5:$F$64,B37,P_Criteres!$G$5:$G$64,"Oui")&gt;0,COUNTIFS(P_Criteres!$F$5:$F$64,B37,P_Criteres!$K$5:$K$64,"Oui")&gt;0,B37=P_ExtraKey),"⚠ Manquant — décisionnel","○ Non renseigné")))</f>
        <v>✔ Renseigné</v>
      </c>
    </row>
    <row r="38" spans="1:9">
      <c r="A38" s="5" t="s">
        <v>580</v>
      </c>
      <c r="B38" s="5" t="s">
        <v>203</v>
      </c>
      <c r="C38" s="5" t="s">
        <v>202</v>
      </c>
      <c r="D38" s="5" t="s">
        <v>120</v>
      </c>
      <c r="E38" s="14">
        <v>55</v>
      </c>
      <c r="F38" s="5">
        <f>IF(Calc_Actif,Calculateurs!C85,"")</f>
        <v/>
      </c>
      <c r="G38" s="5">
        <f>IF(E38&lt;&gt;"",E38,IF(F38="","",F38))</f>
        <v>55.0</v>
      </c>
      <c r="H38" s="20" t="s">
        <v>578</v>
      </c>
      <c r="I38" s="21" t="str">
        <f>IF(TRUE*ISNUMBER(G38)*(N(G38)&gt;0)*(N(G38)&lt;1),"⚠ En % : saisir 62 pour 62 %",IF(G38&lt;&gt;"","✔ Renseigné",IF(OR(COUNTIFS(P_Criteres!$F$5:$F$64,B38,P_Criteres!$G$5:$G$64,"Oui")&gt;0,COUNTIFS(P_Criteres!$F$5:$F$64,B38,P_Criteres!$K$5:$K$64,"Oui")&gt;0,B38=P_ExtraKey),"⚠ Manquant — décisionnel","○ Non renseigné")))</f>
        <v>✔ Renseigné</v>
      </c>
    </row>
    <row r="39" spans="1:9">
      <c r="A39" s="5" t="s">
        <v>580</v>
      </c>
      <c r="B39" s="5" t="s">
        <v>206</v>
      </c>
      <c r="C39" s="5" t="s">
        <v>205</v>
      </c>
      <c r="D39" s="5" t="s">
        <v>120</v>
      </c>
      <c r="E39" s="14">
        <v>5</v>
      </c>
      <c r="F39" s="5">
        <f>IF(Calc_Actif,Calculateurs!C181,"")</f>
        <v/>
      </c>
      <c r="G39" s="5">
        <f>IF(E39&lt;&gt;"",E39,IF(F39="","",F39))</f>
        <v>5.0</v>
      </c>
      <c r="H39" s="20" t="s">
        <v>587</v>
      </c>
      <c r="I39" s="21" t="str">
        <f>IF(TRUE*ISNUMBER(G39)*(N(G39)&gt;0)*(N(G39)&lt;1),"⚠ En % : saisir 62 pour 62 %",IF(G39&lt;&gt;"","✔ Renseigné",IF(OR(COUNTIFS(P_Criteres!$F$5:$F$64,B39,P_Criteres!$G$5:$G$64,"Oui")&gt;0,COUNTIFS(P_Criteres!$F$5:$F$64,B39,P_Criteres!$K$5:$K$64,"Oui")&gt;0,B39=P_ExtraKey),"⚠ Manquant — décisionnel","○ Non renseigné")))</f>
        <v>✔ Renseigné</v>
      </c>
    </row>
    <row r="40" spans="1:9">
      <c r="A40" s="5" t="s">
        <v>580</v>
      </c>
      <c r="B40" s="5" t="s">
        <v>209</v>
      </c>
      <c r="C40" s="5" t="s">
        <v>208</v>
      </c>
      <c r="D40" s="5" t="s">
        <v>120</v>
      </c>
      <c r="E40" s="14">
        <v>3</v>
      </c>
      <c r="F40" s="5">
        <f>IF(Calc_Actif,Calculateurs!C185,"")</f>
        <v/>
      </c>
      <c r="G40" s="5">
        <f>IF(E40&lt;&gt;"",E40,IF(F40="","",F40))</f>
        <v>3.0</v>
      </c>
      <c r="H40" s="20" t="s">
        <v>578</v>
      </c>
      <c r="I40" s="21" t="str">
        <f>IF(TRUE*ISNUMBER(G40)*(N(G40)&gt;0)*(N(G40)&lt;1),"⚠ En % : saisir 62 pour 62 %",IF(G40&lt;&gt;"","✔ Renseigné",IF(OR(COUNTIFS(P_Criteres!$F$5:$F$64,B40,P_Criteres!$G$5:$G$64,"Oui")&gt;0,COUNTIFS(P_Criteres!$F$5:$F$64,B40,P_Criteres!$K$5:$K$64,"Oui")&gt;0,B40=P_ExtraKey),"⚠ Manquant — décisionnel","○ Non renseigné")))</f>
        <v>✔ Renseigné</v>
      </c>
    </row>
    <row r="41" spans="1:9">
      <c r="A41" s="5" t="s">
        <v>588</v>
      </c>
      <c r="B41" s="5" t="s">
        <v>212</v>
      </c>
      <c r="C41" s="5" t="s">
        <v>211</v>
      </c>
      <c r="D41" s="5" t="s">
        <v>120</v>
      </c>
      <c r="E41" s="14">
        <v>27</v>
      </c>
      <c r="F41" s="5"/>
      <c r="G41" s="5">
        <f>IF(E41&lt;&gt;"",E41,IF(F41="","",F41))</f>
        <v>27.0</v>
      </c>
      <c r="H41" s="20" t="s">
        <v>589</v>
      </c>
      <c r="I41" s="21" t="str">
        <f>IF(TRUE*ISNUMBER(G41)*(N(G41)&gt;0)*(N(G41)&lt;1),"⚠ En % : saisir 62 pour 62 %",IF(G41&lt;&gt;"","✔ Renseigné",IF(OR(COUNTIFS(P_Criteres!$F$5:$F$64,B41,P_Criteres!$G$5:$G$64,"Oui")&gt;0,COUNTIFS(P_Criteres!$F$5:$F$64,B41,P_Criteres!$K$5:$K$64,"Oui")&gt;0,B41=P_ExtraKey),"⚠ Manquant — décisionnel","○ Non renseigné")))</f>
        <v>✔ Renseigné</v>
      </c>
    </row>
    <row r="42" spans="1:9">
      <c r="A42" s="5" t="s">
        <v>588</v>
      </c>
      <c r="B42" s="5" t="s">
        <v>215</v>
      </c>
      <c r="C42" s="5" t="s">
        <v>214</v>
      </c>
      <c r="D42" s="5" t="s">
        <v>120</v>
      </c>
      <c r="E42" s="14">
        <v>61</v>
      </c>
      <c r="F42" s="5"/>
      <c r="G42" s="5">
        <f>IF(E42&lt;&gt;"",E42,IF(F42="","",F42))</f>
        <v>61.0</v>
      </c>
      <c r="H42" s="20" t="s">
        <v>590</v>
      </c>
      <c r="I42" s="21" t="str">
        <f>IF(TRUE*ISNUMBER(G42)*(N(G42)&gt;0)*(N(G42)&lt;1),"⚠ En % : saisir 62 pour 62 %",IF(G42&lt;&gt;"","✔ Renseigné",IF(OR(COUNTIFS(P_Criteres!$F$5:$F$64,B42,P_Criteres!$G$5:$G$64,"Oui")&gt;0,COUNTIFS(P_Criteres!$F$5:$F$64,B42,P_Criteres!$K$5:$K$64,"Oui")&gt;0,B42=P_ExtraKey),"⚠ Manquant — décisionnel","○ Non renseigné")))</f>
        <v>✔ Renseigné</v>
      </c>
    </row>
    <row r="43" spans="1:9">
      <c r="A43" s="5" t="s">
        <v>588</v>
      </c>
      <c r="B43" s="5" t="s">
        <v>218</v>
      </c>
      <c r="C43" s="5" t="s">
        <v>217</v>
      </c>
      <c r="D43" s="5" t="s">
        <v>120</v>
      </c>
      <c r="E43" s="14">
        <v>65</v>
      </c>
      <c r="F43" s="5"/>
      <c r="G43" s="5">
        <f>IF(E43&lt;&gt;"",E43,IF(F43="","",F43))</f>
        <v>65.0</v>
      </c>
      <c r="H43" s="20" t="s">
        <v>591</v>
      </c>
      <c r="I43" s="21" t="str">
        <f>IF(TRUE*ISNUMBER(G43)*(N(G43)&gt;0)*(N(G43)&lt;1),"⚠ En % : saisir 62 pour 62 %",IF(G43&lt;&gt;"","✔ Renseigné",IF(OR(COUNTIFS(P_Criteres!$F$5:$F$64,B43,P_Criteres!$G$5:$G$64,"Oui")&gt;0,COUNTIFS(P_Criteres!$F$5:$F$64,B43,P_Criteres!$K$5:$K$64,"Oui")&gt;0,B43=P_ExtraKey),"⚠ Manquant — décisionnel","○ Non renseigné")))</f>
        <v>✔ Renseigné</v>
      </c>
    </row>
    <row r="44" spans="1:9">
      <c r="A44" s="5" t="s">
        <v>588</v>
      </c>
      <c r="B44" s="5" t="s">
        <v>222</v>
      </c>
      <c r="C44" s="5" t="s">
        <v>221</v>
      </c>
      <c r="D44" s="5" t="s">
        <v>120</v>
      </c>
      <c r="E44" s="14">
        <v>125</v>
      </c>
      <c r="F44" s="5"/>
      <c r="G44" s="5">
        <f>IF(E44&lt;&gt;"",E44,IF(F44="","",F44))</f>
        <v>125.0</v>
      </c>
      <c r="H44" s="20" t="s">
        <v>592</v>
      </c>
      <c r="I44" s="21" t="str">
        <f>IF(TRUE*ISNUMBER(G44)*(N(G44)&gt;0)*(N(G44)&lt;1),"⚠ En % : saisir 62 pour 62 %",IF(G44&lt;&gt;"","✔ Renseigné",IF(OR(COUNTIFS(P_Criteres!$F$5:$F$64,B44,P_Criteres!$G$5:$G$64,"Oui")&gt;0,COUNTIFS(P_Criteres!$F$5:$F$64,B44,P_Criteres!$K$5:$K$64,"Oui")&gt;0,B44=P_ExtraKey),"⚠ Manquant — décisionnel","○ Non renseigné")))</f>
        <v>✔ Renseigné</v>
      </c>
    </row>
    <row r="45" spans="1:9">
      <c r="A45" s="5" t="s">
        <v>588</v>
      </c>
      <c r="B45" s="5" t="s">
        <v>225</v>
      </c>
      <c r="C45" s="5" t="s">
        <v>224</v>
      </c>
      <c r="D45" s="5" t="s">
        <v>129</v>
      </c>
      <c r="E45" s="14" t="s">
        <v>366</v>
      </c>
      <c r="F45" s="5"/>
      <c r="G45" s="5" t="str">
        <f>IF(E45&lt;&gt;"",IF(SUMPRODUCT((P_Baremes!$A$5:$A$400="D4C5")*(P_Baremes!$F$5:$F$400=E45))&gt;0,INDEX(P_Baremes!$C$5:$C$400,SUMPRODUCT(MAX((P_Baremes!$A$5:$A$400="D4C5")*(P_Baremes!$F$5:$F$400=E45)*(ROW(P_Baremes!$A$5:$A$400)-4)))),E45),IF(F45="","",F45))</f>
        <v>oui</v>
      </c>
      <c r="H45" s="20" t="s">
        <v>573</v>
      </c>
      <c r="I45" s="21" t="str">
        <f>IF(FALSE*ISNUMBER(G45)*(N(G45)&gt;0)*(N(G45)&lt;1),"⚠ En % : saisir 62 pour 62 %",IF(AND(E45&lt;&gt;"",COUNTIFS(P_Baremes!$A$5:$A$400,"D4C5",P_Baremes!$C$5:$C$400,G45)=0),"⚠ Valeur hors liste",IF(G45&lt;&gt;"","✔ Renseigné",IF(OR(COUNTIFS(P_Criteres!$F$5:$F$64,B45,P_Criteres!$G$5:$G$64,"Oui")&gt;0,COUNTIFS(P_Criteres!$F$5:$F$64,B45,P_Criteres!$K$5:$K$64,"Oui")&gt;0,B45=P_ExtraKey),"⚠ Manquant — décisionnel","○ Non renseigné"))))</f>
        <v>✔ Renseigné</v>
      </c>
    </row>
    <row r="46" spans="1:9">
      <c r="A46" s="5" t="s">
        <v>588</v>
      </c>
      <c r="B46" s="5" t="s">
        <v>228</v>
      </c>
      <c r="C46" s="5" t="s">
        <v>227</v>
      </c>
      <c r="D46" s="5" t="s">
        <v>120</v>
      </c>
      <c r="E46" s="14">
        <v>3.2</v>
      </c>
      <c r="F46" s="5"/>
      <c r="G46" s="5">
        <f>IF(E46&lt;&gt;"",E46,IF(F46="","",F46))</f>
        <v>3.2</v>
      </c>
      <c r="H46" s="20" t="s">
        <v>593</v>
      </c>
      <c r="I46" s="21" t="str">
        <f>IF(FALSE*ISNUMBER(G46)*(N(G46)&gt;0)*(N(G46)&lt;1),"⚠ En % : saisir 62 pour 62 %",IF(G46&lt;&gt;"","✔ Renseigné",IF(OR(COUNTIFS(P_Criteres!$F$5:$F$64,B46,P_Criteres!$G$5:$G$64,"Oui")&gt;0,COUNTIFS(P_Criteres!$F$5:$F$64,B46,P_Criteres!$K$5:$K$64,"Oui")&gt;0,B46=P_ExtraKey),"⚠ Manquant — décisionnel","○ Non renseigné")))</f>
        <v>✔ Renseigné</v>
      </c>
    </row>
    <row r="47" spans="1:9">
      <c r="A47" s="5" t="s">
        <v>588</v>
      </c>
      <c r="B47" s="5" t="s">
        <v>231</v>
      </c>
      <c r="C47" s="5" t="s">
        <v>230</v>
      </c>
      <c r="D47" s="5" t="s">
        <v>120</v>
      </c>
      <c r="E47" s="14">
        <v>5</v>
      </c>
      <c r="F47" s="5">
        <f>IF(Calc_Actif,Calculateurs!C94,"")</f>
        <v/>
      </c>
      <c r="G47" s="5">
        <f>IF(E47&lt;&gt;"",E47,IF(F47="","",F47))</f>
        <v>5.0</v>
      </c>
      <c r="H47" s="20" t="s">
        <v>594</v>
      </c>
      <c r="I47" s="21" t="str">
        <f>IF(FALSE*ISNUMBER(G47)*(N(G47)&gt;0)*(N(G47)&lt;1),"⚠ En % : saisir 62 pour 62 %",IF(G47&lt;&gt;"","✔ Renseigné",IF(OR(COUNTIFS(P_Criteres!$F$5:$F$64,B47,P_Criteres!$G$5:$G$64,"Oui")&gt;0,COUNTIFS(P_Criteres!$F$5:$F$64,B47,P_Criteres!$K$5:$K$64,"Oui")&gt;0,B47=P_ExtraKey),"⚠ Manquant — décisionnel","○ Non renseigné")))</f>
        <v>✔ Renseigné</v>
      </c>
    </row>
    <row r="48" spans="1:9">
      <c r="A48" s="5" t="s">
        <v>588</v>
      </c>
      <c r="B48" s="5" t="s">
        <v>235</v>
      </c>
      <c r="C48" s="5" t="s">
        <v>234</v>
      </c>
      <c r="D48" s="5" t="s">
        <v>120</v>
      </c>
      <c r="E48" s="14">
        <v>98</v>
      </c>
      <c r="F48" s="5">
        <f>IF(Calc_Actif,Calculateurs!C135,"")</f>
        <v/>
      </c>
      <c r="G48" s="5">
        <f>IF(E48&lt;&gt;"",E48,IF(F48="","",F48))</f>
        <v>98.0</v>
      </c>
      <c r="H48" s="20" t="s">
        <v>578</v>
      </c>
      <c r="I48" s="21" t="str">
        <f>IF(TRUE*ISNUMBER(G48)*(N(G48)&gt;0)*(N(G48)&lt;1),"⚠ En % : saisir 62 pour 62 %",IF(G48&lt;&gt;"","✔ Renseigné",IF(OR(COUNTIFS(P_Criteres!$F$5:$F$64,B48,P_Criteres!$G$5:$G$64,"Oui")&gt;0,COUNTIFS(P_Criteres!$F$5:$F$64,B48,P_Criteres!$K$5:$K$64,"Oui")&gt;0,B48=P_ExtraKey),"⚠ Manquant — décisionnel","○ Non renseigné")))</f>
        <v>✔ Renseigné</v>
      </c>
    </row>
    <row r="49" spans="1:9">
      <c r="A49" s="5" t="s">
        <v>588</v>
      </c>
      <c r="B49" s="5" t="s">
        <v>238</v>
      </c>
      <c r="C49" s="5" t="s">
        <v>237</v>
      </c>
      <c r="D49" s="5" t="s">
        <v>120</v>
      </c>
      <c r="E49" s="14">
        <v>2</v>
      </c>
      <c r="F49" s="5">
        <f>IF(Calc_Actif,Calculateurs!C189,"")</f>
        <v/>
      </c>
      <c r="G49" s="5">
        <f>IF(E49&lt;&gt;"",E49,IF(F49="","",F49))</f>
        <v>2.0</v>
      </c>
      <c r="H49" s="20" t="s">
        <v>578</v>
      </c>
      <c r="I49" s="21" t="str">
        <f>IF(TRUE*ISNUMBER(G49)*(N(G49)&gt;0)*(N(G49)&lt;1),"⚠ En % : saisir 62 pour 62 %",IF(G49&lt;&gt;"","✔ Renseigné",IF(OR(COUNTIFS(P_Criteres!$F$5:$F$64,B49,P_Criteres!$G$5:$G$64,"Oui")&gt;0,COUNTIFS(P_Criteres!$F$5:$F$64,B49,P_Criteres!$K$5:$K$64,"Oui")&gt;0,B49=P_ExtraKey),"⚠ Manquant — décisionnel","○ Non renseigné")))</f>
        <v>✔ Renseigné</v>
      </c>
    </row>
    <row r="50" spans="1:9">
      <c r="A50" s="5" t="s">
        <v>595</v>
      </c>
      <c r="B50" s="5" t="s">
        <v>16</v>
      </c>
      <c r="C50" s="5" t="s">
        <v>596</v>
      </c>
      <c r="D50" s="5" t="s">
        <v>120</v>
      </c>
      <c r="E50" s="14">
        <v>0</v>
      </c>
      <c r="F50" s="5"/>
      <c r="G50" s="5">
        <f>IF(E50&lt;&gt;"",E50,IF(F50="","",F50))</f>
        <v>0.0</v>
      </c>
      <c r="H50" s="20" t="s">
        <v>597</v>
      </c>
      <c r="I50" s="21" t="str">
        <f>IF(FALSE*ISNUMBER(G50)*(N(G50)&gt;0)*(N(G50)&lt;1),"⚠ En % : saisir 62 pour 62 %",IF(G50&lt;&gt;"","✔ Renseigné",IF(OR(COUNTIFS(P_Criteres!$F$5:$F$64,B50,P_Criteres!$G$5:$G$64,"Oui")&gt;0,COUNTIFS(P_Criteres!$F$5:$F$64,B50,P_Criteres!$K$5:$K$64,"Oui")&gt;0,B50=P_ExtraKey),"⚠ Manquant — décisionnel","○ Non renseigné")))</f>
        <v>✔ Renseigné</v>
      </c>
    </row>
    <row r="51" spans="1:9">
      <c r="A51" s="5" t="s">
        <v>595</v>
      </c>
      <c r="B51" s="5" t="s">
        <v>459</v>
      </c>
      <c r="C51" s="5" t="s">
        <v>598</v>
      </c>
      <c r="D51" s="5" t="s">
        <v>120</v>
      </c>
      <c r="E51" s="14">
        <v>0</v>
      </c>
      <c r="F51" s="5"/>
      <c r="G51" s="5">
        <f>IF(E51&lt;&gt;"",E51,IF(F51="","",F51))</f>
        <v>0.0</v>
      </c>
      <c r="H51" s="20" t="s">
        <v>599</v>
      </c>
      <c r="I51" s="21" t="str">
        <f>IF(FALSE*ISNUMBER(G51)*(N(G51)&gt;0)*(N(G51)&lt;1),"⚠ En % : saisir 62 pour 62 %",IF(G51&lt;&gt;"","✔ Renseigné",IF(OR(COUNTIFS(P_Criteres!$F$5:$F$64,B51,P_Criteres!$G$5:$G$64,"Oui")&gt;0,COUNTIFS(P_Criteres!$F$5:$F$64,B51,P_Criteres!$K$5:$K$64,"Oui")&gt;0,B51=P_ExtraKey),"⚠ Manquant — décisionnel","○ Non renseigné")))</f>
        <v>✔ Renseigné</v>
      </c>
    </row>
    <row r="52" spans="1:9">
      <c r="A52" s="5" t="s">
        <v>595</v>
      </c>
      <c r="B52" s="5" t="s">
        <v>450</v>
      </c>
      <c r="C52" s="5" t="s">
        <v>600</v>
      </c>
      <c r="D52" s="5" t="s">
        <v>120</v>
      </c>
      <c r="E52" s="14">
        <v>0</v>
      </c>
      <c r="F52" s="5">
        <f>IF(Calc_Actif,Calculateurs!C128,"")</f>
        <v/>
      </c>
      <c r="G52" s="5">
        <f>IF(E52&lt;&gt;"",E52,IF(F52="","",F52))</f>
        <v>0.0</v>
      </c>
      <c r="H52" s="20" t="s">
        <v>601</v>
      </c>
      <c r="I52" s="21" t="str">
        <f>IF(FALSE*ISNUMBER(G52)*(N(G52)&gt;0)*(N(G52)&lt;1),"⚠ En % : saisir 62 pour 62 %",IF(G52&lt;&gt;"","✔ Renseigné",IF(OR(COUNTIFS(P_Criteres!$F$5:$F$64,B52,P_Criteres!$G$5:$G$64,"Oui")&gt;0,COUNTIFS(P_Criteres!$F$5:$F$64,B52,P_Criteres!$K$5:$K$64,"Oui")&gt;0,B52=P_ExtraKey),"⚠ Manquant — décisionnel","○ Non renseigné")))</f>
        <v>✔ Renseigné</v>
      </c>
    </row>
    <row r="53" spans="1:9">
      <c r="A53" s="5" t="s">
        <v>595</v>
      </c>
      <c r="B53" s="5" t="s">
        <v>454</v>
      </c>
      <c r="C53" s="5" t="s">
        <v>602</v>
      </c>
      <c r="D53" s="5" t="s">
        <v>129</v>
      </c>
      <c r="E53" s="14" t="s">
        <v>36</v>
      </c>
      <c r="F53" s="5"/>
      <c r="G53" s="5" t="str">
        <f>IF(E53&lt;&gt;"",IF(SUMPRODUCT((R_ModKey="restructured")*(R_ModLab=E53))&gt;0,INDEX(R_ModCode,SUMPRODUCT(MAX((R_ModKey="restructured")*(R_ModLab=E53)*(ROW(R_ModKey)-65)))),E53),IF(F53="","",F53))</f>
        <v>no</v>
      </c>
      <c r="H53" s="20" t="s">
        <v>573</v>
      </c>
      <c r="I53" s="21" t="str">
        <f>IF(FALSE*ISNUMBER(G53)*(N(G53)&gt;0)*(N(G53)&lt;1),"⚠ En % : saisir 62 pour 62 %",IF(AND(E53&lt;&gt;"",COUNTIFS(R_ModKey,"restructured",R_ModCode,G53)=0),"⚠ Valeur hors liste",IF(G53&lt;&gt;"","✔ Renseigné",IF(OR(COUNTIFS(P_Criteres!$F$5:$F$64,B53,P_Criteres!$G$5:$G$64,"Oui")&gt;0,COUNTIFS(P_Criteres!$F$5:$F$64,B53,P_Criteres!$K$5:$K$64,"Oui")&gt;0,B53=P_ExtraKey),"⚠ Manquant — décisionnel","○ Non renseigné"))))</f>
        <v>✔ Renseigné</v>
      </c>
    </row>
    <row r="54" spans="1:9">
      <c r="A54" s="5" t="s">
        <v>595</v>
      </c>
      <c r="B54" s="5" t="s">
        <v>434</v>
      </c>
      <c r="C54" s="5" t="s">
        <v>603</v>
      </c>
      <c r="D54" s="5" t="s">
        <v>129</v>
      </c>
      <c r="E54" s="14" t="s">
        <v>535</v>
      </c>
      <c r="F54" s="5"/>
      <c r="G54" s="5" t="str">
        <f>IF(E54&lt;&gt;"",IF(SUMPRODUCT((R_ModKey="legal_exposure")*(R_ModLab=E54))&gt;0,INDEX(R_ModCode,SUMPRODUCT(MAX((R_ModKey="legal_exposure")*(R_ModLab=E54)*(ROW(R_ModKey)-65)))),E54),IF(F54="","",F54))</f>
        <v>clear</v>
      </c>
      <c r="H54" s="20" t="s">
        <v>573</v>
      </c>
      <c r="I54" s="21" t="str">
        <f>IF(FALSE*ISNUMBER(G54)*(N(G54)&gt;0)*(N(G54)&lt;1),"⚠ En % : saisir 62 pour 62 %",IF(AND(E54&lt;&gt;"",COUNTIFS(R_ModKey,"legal_exposure",R_ModCode,G54)=0),"⚠ Valeur hors liste",IF(G54&lt;&gt;"","✔ Renseigné",IF(OR(COUNTIFS(P_Criteres!$F$5:$F$64,B54,P_Criteres!$G$5:$G$64,"Oui")&gt;0,COUNTIFS(P_Criteres!$F$5:$F$64,B54,P_Criteres!$K$5:$K$64,"Oui")&gt;0,B54=P_ExtraKey),"⚠ Manquant — décisionnel","○ Non renseigné"))))</f>
        <v>✔ Renseigné</v>
      </c>
    </row>
    <row r="55" spans="1:9">
      <c r="A55" s="5" t="s">
        <v>595</v>
      </c>
      <c r="B55" s="5" t="s">
        <v>423</v>
      </c>
      <c r="C55" s="5" t="s">
        <v>421</v>
      </c>
      <c r="D55" s="5" t="s">
        <v>604</v>
      </c>
      <c r="E55" s="14" t="s">
        <v>36</v>
      </c>
      <c r="F55" s="5"/>
      <c r="G55" s="5" t="b">
        <f>IF(E55&lt;&gt;"",IF(E55="Oui",TRUE,IF(E55="Non",FALSE,"")),IF(F55="","",IF(F55="Oui",TRUE,IF(F55="Non",FALSE,""))))</f>
        <v>0</v>
      </c>
      <c r="H55" s="20" t="s">
        <v>605</v>
      </c>
      <c r="I55" s="21" t="str">
        <f>IF(FALSE*ISNUMBER(G55)*(N(G55)&gt;0)*(N(G55)&lt;1),"⚠ En % : saisir 62 pour 62 %",IF(G55&lt;&gt;"","✔ Renseigné",IF(OR(COUNTIFS(P_Criteres!$F$5:$F$64,B55,P_Criteres!$G$5:$G$64,"Oui")&gt;0,COUNTIFS(P_Criteres!$F$5:$F$64,B55,P_Criteres!$K$5:$K$64,"Oui")&gt;0,B55=P_ExtraKey),"⚠ Manquant — décisionnel","○ Non renseigné")))</f>
        <v>✔ Renseigné</v>
      </c>
    </row>
    <row r="56" spans="1:9">
      <c r="A56" s="5" t="s">
        <v>595</v>
      </c>
      <c r="B56" s="5" t="s">
        <v>426</v>
      </c>
      <c r="C56" s="5" t="s">
        <v>425</v>
      </c>
      <c r="D56" s="5" t="s">
        <v>604</v>
      </c>
      <c r="E56" s="14" t="s">
        <v>36</v>
      </c>
      <c r="F56" s="5"/>
      <c r="G56" s="5" t="b">
        <f>IF(E56&lt;&gt;"",IF(E56="Oui",TRUE,IF(E56="Non",FALSE,"")),IF(F56="","",IF(F56="Oui",TRUE,IF(F56="Non",FALSE,""))))</f>
        <v>0</v>
      </c>
      <c r="H56" s="20" t="s">
        <v>605</v>
      </c>
      <c r="I56" s="21" t="str">
        <f>IF(FALSE*ISNUMBER(G56)*(N(G56)&gt;0)*(N(G56)&lt;1),"⚠ En % : saisir 62 pour 62 %",IF(G56&lt;&gt;"","✔ Renseigné",IF(OR(COUNTIFS(P_Criteres!$F$5:$F$64,B56,P_Criteres!$G$5:$G$64,"Oui")&gt;0,COUNTIFS(P_Criteres!$F$5:$F$64,B56,P_Criteres!$K$5:$K$64,"Oui")&gt;0,B56=P_ExtraKey),"⚠ Manquant — décisionnel","○ Non renseigné")))</f>
        <v>✔ Renseigné</v>
      </c>
    </row>
    <row r="57" spans="1:9">
      <c r="A57" s="5" t="s">
        <v>595</v>
      </c>
      <c r="B57" s="5" t="s">
        <v>400</v>
      </c>
      <c r="C57" s="5" t="s">
        <v>606</v>
      </c>
      <c r="D57" s="5" t="s">
        <v>604</v>
      </c>
      <c r="E57" s="14" t="s">
        <v>36</v>
      </c>
      <c r="F57" s="5">
        <f>IF(Calc_Actif,IF(Calculateurs!C35,IF(Calculateurs!C34,"Oui","Non"),""),"")</f>
        <v/>
      </c>
      <c r="G57" s="5" t="b">
        <f>IF(E57&lt;&gt;"",IF(E57="Oui",TRUE,IF(E57="Non",FALSE,"")),IF(F57="","",IF(F57="Oui",TRUE,IF(F57="Non",FALSE,""))))</f>
        <v>0</v>
      </c>
      <c r="H57" s="20" t="s">
        <v>607</v>
      </c>
      <c r="I57" s="21" t="str">
        <f>IF(FALSE*ISNUMBER(G57)*(N(G57)&gt;0)*(N(G57)&lt;1),"⚠ En % : saisir 62 pour 62 %",IF(G57&lt;&gt;"","✔ Renseigné",IF(OR(COUNTIFS(P_Criteres!$F$5:$F$64,B57,P_Criteres!$G$5:$G$64,"Oui")&gt;0,COUNTIFS(P_Criteres!$F$5:$F$64,B57,P_Criteres!$K$5:$K$64,"Oui")&gt;0,B57=P_ExtraKey),"⚠ Manquant — décisionnel","○ Non renseigné")))</f>
        <v>✔ Renseigné</v>
      </c>
    </row>
    <row r="58" spans="1:9">
      <c r="A58" s="5" t="s">
        <v>595</v>
      </c>
      <c r="B58" s="5" t="s">
        <v>392</v>
      </c>
      <c r="C58" s="5" t="s">
        <v>608</v>
      </c>
      <c r="D58" s="5" t="s">
        <v>604</v>
      </c>
      <c r="E58" s="14" t="s">
        <v>36</v>
      </c>
      <c r="F58" s="5">
        <f>IF(Calc_Actif,IF(Calculateurs!C86="","",IF(Calculateurs!C86,"Oui","Non")),"")</f>
        <v/>
      </c>
      <c r="G58" s="5" t="b">
        <f>IF(E58&lt;&gt;"",IF(E58="Oui",TRUE,IF(E58="Non",FALSE,"")),IF(F58="","",IF(F58="Oui",TRUE,IF(F58="Non",FALSE,""))))</f>
        <v>0</v>
      </c>
      <c r="H58" s="20" t="s">
        <v>607</v>
      </c>
      <c r="I58" s="21" t="str">
        <f>IF(FALSE*ISNUMBER(G58)*(N(G58)&gt;0)*(N(G58)&lt;1),"⚠ En % : saisir 62 pour 62 %",IF(G58&lt;&gt;"","✔ Renseigné",IF(OR(COUNTIFS(P_Criteres!$F$5:$F$64,B58,P_Criteres!$G$5:$G$64,"Oui")&gt;0,COUNTIFS(P_Criteres!$F$5:$F$64,B58,P_Criteres!$K$5:$K$64,"Oui")&gt;0,B58=P_ExtraKey),"⚠ Manquant — décisionnel","○ Non renseigné")))</f>
        <v>✔ Renseigné</v>
      </c>
    </row>
    <row r="59" spans="1:9">
      <c r="A59" s="5" t="s">
        <v>595</v>
      </c>
      <c r="B59" s="5" t="s">
        <v>440</v>
      </c>
      <c r="C59" s="5" t="s">
        <v>609</v>
      </c>
      <c r="D59" s="5" t="s">
        <v>604</v>
      </c>
      <c r="E59" s="14" t="s">
        <v>36</v>
      </c>
      <c r="F59" s="5">
        <f>IF(Calc_Actif,IF(Calculateurs!C95="","",IF(Calculateurs!C95,"Oui","Non")),"")</f>
        <v/>
      </c>
      <c r="G59" s="5" t="b">
        <f>IF(E59&lt;&gt;"",IF(E59="Oui",TRUE,IF(E59="Non",FALSE,"")),IF(F59="","",IF(F59="Oui",TRUE,IF(F59="Non",FALSE,""))))</f>
        <v>0</v>
      </c>
      <c r="H59" s="20" t="s">
        <v>607</v>
      </c>
      <c r="I59" s="21" t="str">
        <f>IF(FALSE*ISNUMBER(G59)*(N(G59)&gt;0)*(N(G59)&lt;1),"⚠ En % : saisir 62 pour 62 %",IF(G59&lt;&gt;"","✔ Renseigné",IF(OR(COUNTIFS(P_Criteres!$F$5:$F$64,B59,P_Criteres!$G$5:$G$64,"Oui")&gt;0,COUNTIFS(P_Criteres!$F$5:$F$64,B59,P_Criteres!$K$5:$K$64,"Oui")&gt;0,B59=P_ExtraKey),"⚠ Manquant — décisionnel","○ Non renseigné")))</f>
        <v>✔ Renseigné</v>
      </c>
    </row>
    <row r="60" spans="1:9">
      <c r="A60" s="5" t="s">
        <v>595</v>
      </c>
      <c r="B60" s="5" t="s">
        <v>413</v>
      </c>
      <c r="C60" s="5" t="s">
        <v>411</v>
      </c>
      <c r="D60" s="5" t="s">
        <v>604</v>
      </c>
      <c r="E60" s="14" t="s">
        <v>36</v>
      </c>
      <c r="F60" s="5">
        <f>IF(Calc_Actif,IF(Calculateurs!C120="","",IF(Calculateurs!C120,"Oui","Non")),"")</f>
        <v/>
      </c>
      <c r="G60" s="5" t="b">
        <f>IF(E60&lt;&gt;"",IF(E60="Oui",TRUE,IF(E60="Non",FALSE,"")),IF(F60="","",IF(F60="Oui",TRUE,IF(F60="Non",FALSE,""))))</f>
        <v>0</v>
      </c>
      <c r="H60" s="20" t="s">
        <v>607</v>
      </c>
      <c r="I60" s="21" t="str">
        <f>IF(FALSE*ISNUMBER(G60)*(N(G60)&gt;0)*(N(G60)&lt;1),"⚠ En % : saisir 62 pour 62 %",IF(G60&lt;&gt;"","✔ Renseigné",IF(OR(COUNTIFS(P_Criteres!$F$5:$F$64,B60,P_Criteres!$G$5:$G$64,"Oui")&gt;0,COUNTIFS(P_Criteres!$F$5:$F$64,B60,P_Criteres!$K$5:$K$64,"Oui")&gt;0,B60=P_ExtraKey),"⚠ Manquant — décisionnel","○ Non renseigné")))</f>
        <v>✔ Renseigné</v>
      </c>
    </row>
    <row r="61" spans="1:9">
      <c r="A61" s="5" t="s">
        <v>595</v>
      </c>
      <c r="B61" s="5" t="s">
        <v>462</v>
      </c>
      <c r="C61" s="5" t="s">
        <v>610</v>
      </c>
      <c r="D61" s="5" t="s">
        <v>604</v>
      </c>
      <c r="E61" s="14" t="s">
        <v>36</v>
      </c>
      <c r="F61" s="5">
        <f>IF(Calc_Actif,IF(Calculateurs!C136="","",IF(Calculateurs!C136,"Oui","Non")),"")</f>
        <v/>
      </c>
      <c r="G61" s="5" t="b">
        <f>IF(E61&lt;&gt;"",IF(E61="Oui",TRUE,IF(E61="Non",FALSE,"")),IF(F61="","",IF(F61="Oui",TRUE,IF(F61="Non",FALSE,""))))</f>
        <v>0</v>
      </c>
      <c r="H61" s="20" t="s">
        <v>607</v>
      </c>
      <c r="I61" s="21" t="str">
        <f>IF(FALSE*ISNUMBER(G61)*(N(G61)&gt;0)*(N(G61)&lt;1),"⚠ En % : saisir 62 pour 62 %",IF(G61&lt;&gt;"","✔ Renseigné",IF(OR(COUNTIFS(P_Criteres!$F$5:$F$64,B61,P_Criteres!$G$5:$G$64,"Oui")&gt;0,COUNTIFS(P_Criteres!$F$5:$F$64,B61,P_Criteres!$K$5:$K$64,"Oui")&gt;0,B61=P_ExtraKey),"⚠ Manquant — décisionnel","○ Non renseigné")))</f>
        <v>✔ Renseigné</v>
      </c>
    </row>
    <row r="62" spans="1:9">
      <c r="A62" s="5" t="s">
        <v>595</v>
      </c>
      <c r="B62" s="5" t="s">
        <v>446</v>
      </c>
      <c r="C62" s="5" t="s">
        <v>611</v>
      </c>
      <c r="D62" s="5" t="s">
        <v>604</v>
      </c>
      <c r="E62" s="14" t="s">
        <v>36</v>
      </c>
      <c r="F62" s="5">
        <f>IF(Calc_Actif,IF(Calculateurs!C154="","",IF(Calculateurs!C154,"Oui","Non")),"")</f>
        <v/>
      </c>
      <c r="G62" s="5" t="b">
        <f>IF(E62&lt;&gt;"",IF(E62="Oui",TRUE,IF(E62="Non",FALSE,"")),IF(F62="","",IF(F62="Oui",TRUE,IF(F62="Non",FALSE,""))))</f>
        <v>0</v>
      </c>
      <c r="H62" s="20" t="s">
        <v>607</v>
      </c>
      <c r="I62" s="21" t="str">
        <f>IF(FALSE*ISNUMBER(G62)*(N(G62)&gt;0)*(N(G62)&lt;1),"⚠ En % : saisir 62 pour 62 %",IF(G62&lt;&gt;"","✔ Renseigné",IF(OR(COUNTIFS(P_Criteres!$F$5:$F$64,B62,P_Criteres!$G$5:$G$64,"Oui")&gt;0,COUNTIFS(P_Criteres!$F$5:$F$64,B62,P_Criteres!$K$5:$K$64,"Oui")&gt;0,B62=P_ExtraKey),"⚠ Manquant — décisionnel","○ Non renseigné")))</f>
        <v>✔ Renseigné</v>
      </c>
    </row>
    <row r="63" spans="1:9">
      <c r="A63" s="5" t="s">
        <v>595</v>
      </c>
      <c r="B63" s="5" t="s">
        <v>418</v>
      </c>
      <c r="C63" s="5" t="s">
        <v>612</v>
      </c>
      <c r="D63" s="5" t="s">
        <v>604</v>
      </c>
      <c r="E63" s="14" t="s">
        <v>36</v>
      </c>
      <c r="F63" s="5">
        <f>IF(Calc_Actif,IF(Calculateurs!C174="","",IF(Calculateurs!C174,"Oui","Non")),"")</f>
        <v/>
      </c>
      <c r="G63" s="5" t="b">
        <f>IF(E63&lt;&gt;"",IF(E63="Oui",TRUE,IF(E63="Non",FALSE,"")),IF(F63="","",IF(F63="Oui",TRUE,IF(F63="Non",FALSE,""))))</f>
        <v>0</v>
      </c>
      <c r="H63" s="20" t="s">
        <v>607</v>
      </c>
      <c r="I63" s="21" t="str">
        <f>IF(FALSE*ISNUMBER(G63)*(N(G63)&gt;0)*(N(G63)&lt;1),"⚠ En % : saisir 62 pour 62 %",IF(G63&lt;&gt;"","✔ Renseigné",IF(OR(COUNTIFS(P_Criteres!$F$5:$F$64,B63,P_Criteres!$G$5:$G$64,"Oui")&gt;0,COUNTIFS(P_Criteres!$F$5:$F$64,B63,P_Criteres!$K$5:$K$64,"Oui")&gt;0,B63=P_ExtraKey),"⚠ Manquant — décisionnel","○ Non renseigné")))</f>
        <v>✔ Renseigné</v>
      </c>
    </row>
    <row r="64" spans="1:9">
      <c r="A64" s="5" t="s">
        <v>595</v>
      </c>
      <c r="B64" s="5" t="s">
        <v>408</v>
      </c>
      <c r="C64" s="5" t="s">
        <v>613</v>
      </c>
      <c r="D64" s="5" t="s">
        <v>604</v>
      </c>
      <c r="E64" s="14" t="s">
        <v>36</v>
      </c>
      <c r="F64" s="5"/>
      <c r="G64" s="5" t="b">
        <f>IF(E64&lt;&gt;"",IF(E64="Oui",TRUE,IF(E64="Non",FALSE,"")),IF(F64="","",IF(F64="Oui",TRUE,IF(F64="Non",FALSE,""))))</f>
        <v>0</v>
      </c>
      <c r="H64" s="20" t="s">
        <v>605</v>
      </c>
      <c r="I64" s="21" t="str">
        <f>IF(FALSE*ISNUMBER(G64)*(N(G64)&gt;0)*(N(G64)&lt;1),"⚠ En % : saisir 62 pour 62 %",IF(G64&lt;&gt;"","✔ Renseigné",IF(OR(COUNTIFS(P_Criteres!$F$5:$F$64,B64,P_Criteres!$G$5:$G$64,"Oui")&gt;0,COUNTIFS(P_Criteres!$F$5:$F$64,B64,P_Criteres!$K$5:$K$64,"Oui")&gt;0,B64=P_ExtraKey),"⚠ Manquant — décisionnel","○ Non renseigné")))</f>
        <v>✔ Renseigné</v>
      </c>
    </row>
    <row r="65" spans="1:9">
      <c r="A65" s="5"/>
      <c r="B65" s="5"/>
      <c r="C65" s="5"/>
      <c r="D65" s="5"/>
      <c r="E65" s="14"/>
      <c r="F65" s="5"/>
      <c r="G65" s="5">
        <f>IF(E65&lt;&gt;"",E65,IF(F65="","",F65))</f>
        <v/>
      </c>
      <c r="H65" s="5"/>
      <c r="I65" s="5"/>
    </row>
    <row r="66" spans="1:9">
      <c r="A66" s="5"/>
      <c r="B66" s="5"/>
      <c r="C66" s="5"/>
      <c r="D66" s="5"/>
      <c r="E66" s="14"/>
      <c r="F66" s="5"/>
      <c r="G66" s="5">
        <f>IF(E66&lt;&gt;"",E66,IF(F66="","",F66))</f>
        <v/>
      </c>
      <c r="H66" s="5"/>
      <c r="I66" s="5"/>
    </row>
    <row r="67" spans="1:9">
      <c r="A67" s="5"/>
      <c r="B67" s="5"/>
      <c r="C67" s="5"/>
      <c r="D67" s="5"/>
      <c r="E67" s="14"/>
      <c r="F67" s="5"/>
      <c r="G67" s="5">
        <f>IF(E67&lt;&gt;"",E67,IF(F67="","",F67))</f>
        <v/>
      </c>
      <c r="H67" s="5"/>
      <c r="I67" s="5"/>
    </row>
    <row r="68" spans="1:9">
      <c r="A68" s="5"/>
      <c r="B68" s="5"/>
      <c r="C68" s="5"/>
      <c r="D68" s="5"/>
      <c r="E68" s="14"/>
      <c r="F68" s="5"/>
      <c r="G68" s="5">
        <f>IF(E68&lt;&gt;"",E68,IF(F68="","",F68))</f>
        <v/>
      </c>
      <c r="H68" s="5"/>
      <c r="I68" s="5"/>
    </row>
    <row r="69" spans="1:9">
      <c r="A69" s="5"/>
      <c r="B69" s="5"/>
      <c r="C69" s="5"/>
      <c r="D69" s="5"/>
      <c r="E69" s="14"/>
      <c r="F69" s="5"/>
      <c r="G69" s="5">
        <f>IF(E69&lt;&gt;"",E69,IF(F69="","",F69))</f>
        <v/>
      </c>
      <c r="H69" s="5"/>
      <c r="I69" s="5"/>
    </row>
    <row r="70" spans="1:9">
      <c r="A70" s="5"/>
      <c r="B70" s="5"/>
      <c r="C70" s="5"/>
      <c r="D70" s="5"/>
      <c r="E70" s="14"/>
      <c r="F70" s="5"/>
      <c r="G70" s="5">
        <f>IF(E70&lt;&gt;"",E70,IF(F70="","",F70))</f>
        <v/>
      </c>
      <c r="H70" s="5"/>
      <c r="I70" s="5"/>
    </row>
    <row r="71" spans="1:9">
      <c r="A71" s="5"/>
      <c r="B71" s="5"/>
      <c r="C71" s="5"/>
      <c r="D71" s="5"/>
      <c r="E71" s="14"/>
      <c r="F71" s="5"/>
      <c r="G71" s="5">
        <f>IF(E71&lt;&gt;"",E71,IF(F71="","",F71))</f>
        <v/>
      </c>
      <c r="H71" s="5"/>
      <c r="I71" s="5"/>
    </row>
    <row r="72" spans="1:9">
      <c r="A72" s="5"/>
      <c r="B72" s="5"/>
      <c r="C72" s="5"/>
      <c r="D72" s="5"/>
      <c r="E72" s="14"/>
      <c r="F72" s="5"/>
      <c r="G72" s="5">
        <f>IF(E72&lt;&gt;"",E72,IF(F72="","",F72))</f>
        <v/>
      </c>
      <c r="H72" s="5"/>
      <c r="I72" s="5"/>
    </row>
    <row r="73" spans="1:9">
      <c r="A73" s="5"/>
      <c r="B73" s="5"/>
      <c r="C73" s="5"/>
      <c r="D73" s="5"/>
      <c r="E73" s="14"/>
      <c r="F73" s="5"/>
      <c r="G73" s="5">
        <f>IF(E73&lt;&gt;"",E73,IF(F73="","",F73))</f>
        <v/>
      </c>
      <c r="H73" s="5"/>
      <c r="I73" s="5"/>
    </row>
    <row r="74" spans="1:9">
      <c r="A74" s="5"/>
      <c r="B74" s="5"/>
      <c r="C74" s="5"/>
      <c r="D74" s="5"/>
      <c r="E74" s="14"/>
      <c r="F74" s="5"/>
      <c r="G74" s="5">
        <f>IF(E74&lt;&gt;"",E74,IF(F74="","",F74))</f>
        <v/>
      </c>
      <c r="H74" s="5"/>
      <c r="I74" s="5"/>
    </row>
    <row r="75" spans="1:9">
      <c r="A75" s="5"/>
      <c r="B75" s="5"/>
      <c r="C75" s="5"/>
      <c r="D75" s="5"/>
      <c r="E75" s="14"/>
      <c r="F75" s="5"/>
      <c r="G75" s="5">
        <f>IF(E75&lt;&gt;"",E75,IF(F75="","",F75))</f>
        <v/>
      </c>
      <c r="H75" s="5"/>
      <c r="I75" s="5"/>
    </row>
    <row r="76" spans="1:9">
      <c r="A76" s="5"/>
      <c r="B76" s="5"/>
      <c r="C76" s="5"/>
      <c r="D76" s="5"/>
      <c r="E76" s="14"/>
      <c r="F76" s="5"/>
      <c r="G76" s="5">
        <f>IF(E76&lt;&gt;"",E76,IF(F76="","",F76))</f>
        <v/>
      </c>
      <c r="H76" s="5"/>
      <c r="I76" s="5"/>
    </row>
    <row r="77" spans="1:9">
      <c r="A77" s="5"/>
      <c r="B77" s="5"/>
      <c r="C77" s="5"/>
      <c r="D77" s="5"/>
      <c r="E77" s="14"/>
      <c r="F77" s="5"/>
      <c r="G77" s="5">
        <f>IF(E77&lt;&gt;"",E77,IF(F77="","",F77))</f>
        <v/>
      </c>
      <c r="H77" s="5"/>
      <c r="I77" s="5"/>
    </row>
    <row r="78" spans="1:9">
      <c r="A78" s="5"/>
      <c r="B78" s="5"/>
      <c r="C78" s="5"/>
      <c r="D78" s="5"/>
      <c r="E78" s="14"/>
      <c r="F78" s="5"/>
      <c r="G78" s="5">
        <f>IF(E78&lt;&gt;"",E78,IF(F78="","",F78))</f>
        <v/>
      </c>
      <c r="H78" s="5"/>
      <c r="I78" s="5"/>
    </row>
    <row r="79" spans="1:9">
      <c r="A79" s="5"/>
      <c r="B79" s="5"/>
      <c r="C79" s="5"/>
      <c r="D79" s="5"/>
      <c r="E79" s="14"/>
      <c r="F79" s="5"/>
      <c r="G79" s="5">
        <f>IF(E79&lt;&gt;"",E79,IF(F79="","",F79))</f>
        <v/>
      </c>
      <c r="H79" s="5"/>
      <c r="I79" s="5"/>
    </row>
    <row r="80" spans="1:9">
      <c r="A80" s="5"/>
      <c r="B80" s="5"/>
      <c r="C80" s="5"/>
      <c r="D80" s="5"/>
      <c r="E80" s="14"/>
      <c r="F80" s="5"/>
      <c r="G80" s="5">
        <f>IF(E80&lt;&gt;"",E80,IF(F80="","",F80))</f>
        <v/>
      </c>
      <c r="H80" s="5"/>
      <c r="I80" s="5"/>
    </row>
    <row r="81" spans="1:9">
      <c r="A81" s="5"/>
      <c r="B81" s="5"/>
      <c r="C81" s="5"/>
      <c r="D81" s="5"/>
      <c r="E81" s="14"/>
      <c r="F81" s="5"/>
      <c r="G81" s="5">
        <f>IF(E81&lt;&gt;"",E81,IF(F81="","",F81))</f>
        <v/>
      </c>
      <c r="H81" s="5"/>
      <c r="I81" s="5"/>
    </row>
    <row r="82" spans="1:9">
      <c r="A82" s="5"/>
      <c r="B82" s="5"/>
      <c r="C82" s="5"/>
      <c r="D82" s="5"/>
      <c r="E82" s="14"/>
      <c r="F82" s="5"/>
      <c r="G82" s="5">
        <f>IF(E82&lt;&gt;"",E82,IF(F82="","",F82))</f>
        <v/>
      </c>
      <c r="H82" s="5"/>
      <c r="I82" s="5"/>
    </row>
    <row r="83" spans="1:9">
      <c r="A83" s="5"/>
      <c r="B83" s="5"/>
      <c r="C83" s="5"/>
      <c r="D83" s="5"/>
      <c r="E83" s="14"/>
      <c r="F83" s="5"/>
      <c r="G83" s="5">
        <f>IF(E83&lt;&gt;"",E83,IF(F83="","",F83))</f>
        <v/>
      </c>
      <c r="H83" s="5"/>
      <c r="I83" s="5"/>
    </row>
    <row r="84" spans="1:9">
      <c r="A84" s="5"/>
      <c r="B84" s="5"/>
      <c r="C84" s="5"/>
      <c r="D84" s="5"/>
      <c r="E84" s="14"/>
      <c r="F84" s="5"/>
      <c r="G84" s="5">
        <f>IF(E84&lt;&gt;"",E84,IF(F84="","",F84))</f>
        <v/>
      </c>
      <c r="H84" s="5"/>
      <c r="I84" s="5"/>
    </row>
    <row r="85" spans="1:9">
      <c r="A85" s="5"/>
      <c r="B85" s="5"/>
      <c r="C85" s="5"/>
      <c r="D85" s="5"/>
      <c r="E85" s="14"/>
      <c r="F85" s="5"/>
      <c r="G85" s="5">
        <f>IF(E85&lt;&gt;"",E85,IF(F85="","",F85))</f>
        <v/>
      </c>
      <c r="H85" s="5"/>
      <c r="I85" s="5"/>
    </row>
    <row r="86" spans="1:9">
      <c r="A86" s="5"/>
      <c r="B86" s="5"/>
      <c r="C86" s="5"/>
      <c r="D86" s="5"/>
      <c r="E86" s="14"/>
      <c r="F86" s="5"/>
      <c r="G86" s="5">
        <f>IF(E86&lt;&gt;"",E86,IF(F86="","",F86))</f>
        <v/>
      </c>
      <c r="H86" s="5"/>
      <c r="I86" s="5"/>
    </row>
    <row r="87" spans="1:9">
      <c r="A87" s="5"/>
      <c r="B87" s="5"/>
      <c r="C87" s="5"/>
      <c r="D87" s="5"/>
      <c r="E87" s="14"/>
      <c r="F87" s="5"/>
      <c r="G87" s="5">
        <f>IF(E87&lt;&gt;"",E87,IF(F87="","",F87))</f>
        <v/>
      </c>
      <c r="H87" s="5"/>
      <c r="I87" s="5"/>
    </row>
    <row r="88" spans="1:9">
      <c r="A88" s="5"/>
      <c r="B88" s="5"/>
      <c r="C88" s="5"/>
      <c r="D88" s="5"/>
      <c r="E88" s="14"/>
      <c r="F88" s="5"/>
      <c r="G88" s="5">
        <f>IF(E88&lt;&gt;"",E88,IF(F88="","",F88))</f>
        <v/>
      </c>
      <c r="H88" s="5"/>
      <c r="I88" s="5"/>
    </row>
    <row r="89" spans="1:9">
      <c r="A89" s="5"/>
      <c r="B89" s="5"/>
      <c r="C89" s="5"/>
      <c r="D89" s="5"/>
      <c r="E89" s="14"/>
      <c r="F89" s="5"/>
      <c r="G89" s="5">
        <f>IF(E89&lt;&gt;"",E89,IF(F89="","",F89))</f>
        <v/>
      </c>
      <c r="H89" s="5"/>
      <c r="I89" s="5"/>
    </row>
    <row r="90" spans="1:9">
      <c r="A90" s="5"/>
      <c r="B90" s="5"/>
      <c r="C90" s="5"/>
      <c r="D90" s="5"/>
      <c r="E90" s="14"/>
      <c r="F90" s="5"/>
      <c r="G90" s="5">
        <f>IF(E90&lt;&gt;"",E90,IF(F90="","",F90))</f>
        <v/>
      </c>
      <c r="H90" s="5"/>
      <c r="I90" s="5"/>
    </row>
    <row r="91" spans="1:9">
      <c r="A91" s="5"/>
      <c r="B91" s="5"/>
      <c r="C91" s="5"/>
      <c r="D91" s="5"/>
      <c r="E91" s="14"/>
      <c r="F91" s="5"/>
      <c r="G91" s="5">
        <f>IF(E91&lt;&gt;"",E91,IF(F91="","",F91))</f>
        <v/>
      </c>
      <c r="H91" s="5"/>
      <c r="I91" s="5"/>
    </row>
    <row r="92" spans="1:9">
      <c r="A92" s="5"/>
      <c r="B92" s="5"/>
      <c r="C92" s="5"/>
      <c r="D92" s="5"/>
      <c r="E92" s="14"/>
      <c r="F92" s="5"/>
      <c r="G92" s="5">
        <f>IF(E92&lt;&gt;"",E92,IF(F92="","",F92))</f>
        <v/>
      </c>
      <c r="H92" s="5"/>
      <c r="I92" s="5"/>
    </row>
  </sheetData>
  <sheetProtection sheet="1" objects="1" scenarios="1" formatColumns="0" formatRows="0"/>
  <conditionalFormatting sqref="I13:I92">
    <cfRule type="beginsWith" dxfId="3" priority="7" operator="beginsWith" text="⚠ Manquant">
      <formula>LEFT(I13,10)="⚠ Manquant"</formula>
    </cfRule>
    <cfRule type="beginsWith" dxfId="2" priority="8" operator="beginsWith" text="⚠">
      <formula>LEFT(I13,1)="⚠"</formula>
    </cfRule>
    <cfRule type="beginsWith" dxfId="5" priority="9" operator="beginsWith" text="✔">
      <formula>LEFT(I13,1)="✔"</formula>
    </cfRule>
  </conditionalFormatting>
  <conditionalFormatting sqref="I5">
    <cfRule type="expression" dxfId="0" priority="1">
      <formula>Res_Decision="GO"</formula>
    </cfRule>
    <cfRule type="expression" dxfId="1" priority="2">
      <formula>Res_Decision="GO_WITH_CONDITIONS"</formula>
    </cfRule>
    <cfRule type="expression" dxfId="2" priority="3">
      <formula>Res_Decision="WATCH_LIST"</formula>
    </cfRule>
    <cfRule type="expression" dxfId="3" priority="4">
      <formula>Res_Decision="NO_GO"</formula>
    </cfRule>
    <cfRule type="expression" dxfId="4" priority="5">
      <formula>Res_Decision="DOSSIER_INCOMPLET"</formula>
    </cfRule>
  </conditionalFormatting>
  <conditionalFormatting sqref="I8:I9">
    <cfRule type="cellIs" dxfId="3" priority="6" operator="greaterThan">
      <formula>0</formula>
    </cfRule>
  </conditionalFormatting>
  <dataValidations count="56">
    <dataValidation type="list" errorStyle="warning" allowBlank="1" showInputMessage="1" showErrorMessage="1" errorTitle="Segment" error="Choisissez un segment dans la liste." sqref="C6">
      <formula1>P_SegLabels</formula1>
    </dataValidation>
    <dataValidation type="list" errorStyle="warning" allowBlank="1" showInputMessage="1" showErrorMessage="1" errorTitle="Zone" error="Choisissez une zone dans la liste." sqref="C7">
      <formula1>P_ZoneLabels</formula1>
    </dataValidation>
    <dataValidation type="list" allowBlank="1" showInputMessage="1" showErrorMessage="1" sqref="C8">
      <formula1>P_ClsCodes</formula1>
    </dataValidation>
    <dataValidation type="list" allowBlank="1" showInputMessage="1" showErrorMessage="1" sqref="C9">
      <formula1>P_PhaseCodes</formula1>
    </dataValidation>
    <dataValidation type="decimal" allowBlank="1" showInputMessage="1" showErrorMessage="1" errorTitle="Projets similaires livrés (5 an" error="Saisissez un nombre (ex. 62 pour 62 %), ou laissez vide si inconnu." sqref="E13">
      <formula1>-1000000000000.0</formula1>
      <formula2>1000000000000.0</formula2>
    </dataValidation>
    <dataValidation type="decimal" allowBlank="1" showInputMessage="1" showErrorMessage="1" errorTitle="Gearing promoteur (dettes nette" error="Saisissez un nombre (ex. 62 pour 62 %), ou laissez vide si inconnu." sqref="E14">
      <formula1>-1000000000000.0</formula1>
      <formula2>1000000000000.0</formula2>
    </dataValidation>
    <dataValidation type="list" errorStyle="warning" allowBlank="1" showInputMessage="1" showErrorMessage="1" errorTitle="Gouvernance &amp; structure juridiq" error="Choisissez une valeur dans la liste." sqref="E15">
      <formula1>P_Baremes!$F$11:$F$13</formula1>
    </dataValidation>
    <dataValidation type="decimal" allowBlank="1" showInputMessage="1" showErrorMessage="1" errorTitle="Concentration mono-projet (CA p" error="Saisissez un nombre (ex. 62 pour 62 %), ou laissez vide si inconnu." sqref="E16">
      <formula1>-1000000000000.0</formula1>
      <formula2>1000000000000.0</formula2>
    </dataValidation>
    <dataValidation type="list" errorStyle="warning" allowBlank="1" showInputMessage="1" showErrorMessage="1" errorTitle="Typologie promoteur" error="Choisissez une valeur dans la liste." sqref="E17">
      <formula1>P_Baremes!$F$17:$F$19</formula1>
    </dataValidation>
    <dataValidation type="decimal" allowBlank="1" showInputMessage="1" showErrorMessage="1" errorTitle="Apport effectif (injecté / prév" error="Saisissez un nombre (ex. 62 pour 62 %), ou laissez vide si inconnu." sqref="E18">
      <formula1>-1000000000000.0</formula1>
      <formula2>1000000000000.0</formula2>
    </dataValidation>
    <dataValidation type="list" errorStyle="warning" allowBlank="1" showInputMessage="1" showErrorMessage="1" errorTitle="Foncier &amp; autorisations" error="Choisissez une valeur dans la liste." sqref="E19">
      <formula1>P_Baremes!$F$23:$F$25</formula1>
    </dataValidation>
    <dataValidation type="list" errorStyle="warning" allowBlank="1" showInputMessage="1" showErrorMessage="1" errorTitle="Marché &amp; positionnement" error="Choisissez une valeur dans la liste." sqref="E20">
      <formula1>P_Baremes!$F$26:$F$28</formula1>
    </dataValidation>
    <dataValidation type="list" errorStyle="warning" allowBlank="1" showInputMessage="1" showErrorMessage="1" errorTitle="Complexité technique" error="Choisissez une valeur dans la liste." sqref="E21">
      <formula1>P_Baremes!$F$29:$F$31</formula1>
    </dataValidation>
    <dataValidation type="decimal" allowBlank="1" showInputMessage="1" showErrorMessage="1" errorTitle="Avancement vs planning" error="Saisissez un nombre (ex. 62 pour 62 %), ou laissez vide si inconnu." sqref="E22">
      <formula1>-1000000000000.0</formula1>
      <formula2>1000000000000.0</formula2>
    </dataValidation>
    <dataValidation type="list" errorStyle="warning" allowBlank="1" showInputMessage="1" showErrorMessage="1" errorTitle="Litiges clients / SAV" error="Choisissez une valeur dans la liste." sqref="E23">
      <formula1>P_Baremes!$F$35:$F$37</formula1>
    </dataValidation>
    <dataValidation type="list" errorStyle="warning" allowBlank="1" showInputMessage="1" showErrorMessage="1" errorTitle="Sensibilité macro / subvention" error="Choisissez une valeur dans la liste." sqref="E24">
      <formula1>P_Baremes!$F$38:$F$40</formula1>
    </dataValidation>
    <dataValidation type="decimal" allowBlank="1" showInputMessage="1" showErrorMessage="1" errorTitle="Coût foncier / CA" error="Saisissez un nombre (ex. 62 pour 62 %), ou laissez vide si inconnu." sqref="E25">
      <formula1>-1000000000000.0</formula1>
      <formula2>1000000000000.0</formula2>
    </dataValidation>
    <dataValidation type="decimal" allowBlank="1" showInputMessage="1" showErrorMessage="1" errorTitle="Chaîne d'autorisations (complét" error="Saisissez un nombre (ex. 62 pour 62 %), ou laissez vide si inconnu." sqref="E26">
      <formula1>-1000000000000.0</formula1>
      <formula2>1000000000000.0</formula2>
    </dataValidation>
    <dataValidation type="list" errorStyle="warning" allowBlank="1" showInputMessage="1" showErrorMessage="1" errorTitle="Tension du marché régional" error="Choisissez une valeur dans la liste." sqref="E27">
      <formula1>P_Baremes!$F$47:$F$49</formula1>
    </dataValidation>
    <dataValidation type="list" errorStyle="warning" allowBlank="1" showInputMessage="1" showErrorMessage="1" errorTitle="Entreprise de travaux et garant" error="Choisissez une valeur dans la liste." sqref="E28">
      <formula1>P_Baremes!$F$50:$F$52</formula1>
    </dataValidation>
    <dataValidation type="decimal" allowBlank="1" showInputMessage="1" showErrorMessage="1" errorTitle="Équipements exigés non budgétés" error="Saisissez un nombre (ex. 62 pour 62 %), ou laissez vide si inconnu." sqref="E29">
      <formula1>-1000000000000.0</formula1>
      <formula2>1000000000000.0</formula2>
    </dataValidation>
    <dataValidation type="list" errorStyle="warning" allowBlank="1" showInputMessage="1" showErrorMessage="1" errorTitle="Autonomie du périmètre financé " error="Choisissez une valeur dans la liste." sqref="E30">
      <formula1>P_Baremes!$F$56:$F$59</formula1>
    </dataValidation>
    <dataValidation type="decimal" allowBlank="1" showInputMessage="1" showErrorMessage="1" errorTitle="Préventes sécurisées (encaissée" error="Saisissez un nombre (ex. 62 pour 62 %), ou laissez vide si inconnu." sqref="E31">
      <formula1>-1000000000000.0</formula1>
      <formula2>1000000000000.0</formula2>
    </dataValidation>
    <dataValidation type="decimal" allowBlank="1" showInputMessage="1" showErrorMessage="1" errorTitle="Ventes vs planning" error="Saisissez un nombre (ex. 62 pour 62 %), ou laissez vide si inconnu." sqref="E32">
      <formula1>-1000000000000.0</formula1>
      <formula2>1000000000000.0</formula2>
    </dataValidation>
    <dataValidation type="decimal" allowBlank="1" showInputMessage="1" showErrorMessage="1" errorTitle="DSO (jours)" error="Saisissez un nombre (ex. 62 pour 62 %), ou laissez vide si inconnu." sqref="E33">
      <formula1>-1000000000000.0</formula1>
      <formula2>1000000000000.0</formula2>
    </dataValidation>
    <dataValidation type="decimal" allowBlank="1" showInputMessage="1" showErrorMessage="1" errorTitle="Cash coverage (cash / échéances" error="Saisissez un nombre (ex. 62 pour 62 %), ou laissez vide si inconnu." sqref="E34">
      <formula1>-1000000000000.0</formula1>
      <formula2>1000000000000.0</formula2>
    </dataValidation>
    <dataValidation type="decimal" allowBlank="1" showInputMessage="1" showErrorMessage="1" errorTitle="Impasse brute" error="Saisissez un nombre (ex. 62 pour 62 %), ou laissez vide si inconnu." sqref="E35">
      <formula1>-1000000000000.0</formula1>
      <formula2>1000000000000.0</formula2>
    </dataValidation>
    <dataValidation type="decimal" allowBlank="1" showInputMessage="1" showErrorMessage="1" errorTitle="Rotation stock (mois)" error="Saisissez un nombre (ex. 62 pour 62 %), ou laissez vide si inconnu." sqref="E36">
      <formula1>-1000000000000.0</formula1>
      <formula2>1000000000000.0</formula2>
    </dataValidation>
    <dataValidation type="decimal" allowBlank="1" showInputMessage="1" showErrorMessage="1" errorTitle="Marge brute stressée (prix -10%" error="Saisissez un nombre (ex. 62 pour 62 %), ou laissez vide si inconnu." sqref="E37">
      <formula1>-1000000000000.0</formula1>
      <formula2>1000000000000.0</formula2>
    </dataValidation>
    <dataValidation type="decimal" allowBlank="1" showInputMessage="1" showErrorMessage="1" errorTitle="Ventes sécurisées (financement " error="Saisissez un nombre (ex. 62 pour 62 %), ou laissez vide si inconnu." sqref="E38">
      <formula1>-1000000000000.0</formula1>
      <formula2>1000000000000.0</formula2>
    </dataValidation>
    <dataValidation type="decimal" allowBlank="1" showInputMessage="1" showErrorMessage="1" errorTitle="Part du CA en produits à écoule" error="Saisissez un nombre (ex. 62 pour 62 %), ou laissez vide si inconnu." sqref="E39">
      <formula1>-1000000000000.0</formula1>
      <formula2>1000000000000.0</formula2>
    </dataValidation>
    <dataValidation type="decimal" allowBlank="1" showInputMessage="1" showErrorMessage="1" errorTitle="Taux de désistement des réserva" error="Saisissez un nombre (ex. 62 pour 62 %), ou laissez vide si inconnu." sqref="E40">
      <formula1>-1000000000000.0</formula1>
      <formula2>1000000000000.0</formula2>
    </dataValidation>
    <dataValidation type="decimal" allowBlank="1" showInputMessage="1" showErrorMessage="1" errorTitle="Marge brute (CA - coûts directs" error="Saisissez un nombre (ex. 62 pour 62 %), ou laissez vide si inconnu." sqref="E41">
      <formula1>-1000000000000.0</formula1>
      <formula2>1000000000000.0</formula2>
    </dataValidation>
    <dataValidation type="decimal" allowBlank="1" showInputMessage="1" showErrorMessage="1" errorTitle="LTC (dette / coût total)" error="Saisissez un nombre (ex. 62 pour 62 %), ou laissez vide si inconnu." sqref="E42">
      <formula1>-1000000000000.0</formula1>
      <formula2>1000000000000.0</formula2>
    </dataValidation>
    <dataValidation type="decimal" allowBlank="1" showInputMessage="1" showErrorMessage="1" errorTitle="LTV stressée (dette / valeur×0," error="Saisissez un nombre (ex. 62 pour 62 %), ou laissez vide si inconnu." sqref="E43">
      <formula1>-1000000000000.0</formula1>
      <formula2>1000000000000.0</formula2>
    </dataValidation>
    <dataValidation type="decimal" allowBlank="1" showInputMessage="1" showErrorMessage="1" errorTitle="Couverture garanties réalisable" error="Saisissez un nombre (ex. 62 pour 62 %), ou laissez vide si inconnu." sqref="E44">
      <formula1>-1000000000000.0</formula1>
      <formula2>1000000000000.0</formula2>
    </dataValidation>
    <dataValidation type="list" errorStyle="warning" allowBlank="1" showInputMessage="1" showErrorMessage="1" errorTitle="Rang bancaire 1er rang" error="Choisissez une valeur dans la liste." sqref="E45">
      <formula1>P_Baremes!$F$102:$F$103</formula1>
    </dataValidation>
    <dataValidation type="decimal" allowBlank="1" showInputMessage="1" showErrorMessage="1" errorTitle="Interest coverage (EBITDA / cha" error="Saisissez un nombre (ex. 62 pour 62 %), ou laissez vide si inconnu." sqref="E46">
      <formula1>-1000000000000.0</formula1>
      <formula2>1000000000000.0</formula2>
    </dataValidation>
    <dataValidation type="decimal" allowBlank="1" showInputMessage="1" showErrorMessage="1" errorTitle="Quotité de désengagement vs équ" error="Saisissez un nombre (ex. 62 pour 62 %), ou laissez vide si inconnu." sqref="E47">
      <formula1>-1000000000000.0</formula1>
      <formula2>1000000000000.0</formula2>
    </dataValidation>
    <dataValidation type="decimal" allowBlank="1" showInputMessage="1" showErrorMessage="1" errorTitle="Déblocages vs avancement certif" error="Saisissez un nombre (ex. 62 pour 62 %), ou laissez vide si inconnu." sqref="E48">
      <formula1>-1000000000000.0</formula1>
      <formula2>1000000000000.0</formula2>
    </dataValidation>
    <dataValidation type="decimal" allowBlank="1" showInputMessage="1" showErrorMessage="1" errorTitle="Dépassement du coût à terminais" error="Saisissez un nombre (ex. 62 pour 62 %), ou laissez vide si inconnu." sqref="E49">
      <formula1>-1000000000000.0</formula1>
      <formula2>1000000000000.0</formula2>
    </dataValidation>
    <dataValidation type="decimal" allowBlank="1" showInputMessage="1" showErrorMessage="1" errorTitle="Retard de paiement (jours)" error="Saisissez un nombre (ex. 62 pour 62 %), ou laissez vide si inconnu." sqref="E50">
      <formula1>-1000000000000.0</formula1>
      <formula2>1000000000000.0</formula2>
    </dataValidation>
    <dataValidation type="decimal" allowBlank="1" showInputMessage="1" showErrorMessage="1" errorTitle="Retard chantier (mois)" error="Saisissez un nombre (ex. 62 pour 62 %), ou laissez vide si inconnu." sqref="E51">
      <formula1>-1000000000000.0</formula1>
      <formula2>1000000000000.0</formula2>
    </dataValidation>
    <dataValidation type="decimal" allowBlank="1" showInputMessage="1" showErrorMessage="1" errorTitle="Arrêt du projet (mois)" error="Saisissez un nombre (ex. 62 pour 62 %), ou laissez vide si inconnu." sqref="E52">
      <formula1>-1000000000000.0</formula1>
      <formula2>1000000000000.0</formula2>
    </dataValidation>
    <dataValidation type="list" errorStyle="warning" allowBlank="1" showInputMessage="1" showErrorMessage="1" errorTitle="Créance restructurée" error="Choisissez une valeur dans la liste." sqref="E53">
      <formula1>P_Referentiels!$C$66:$C$67</formula1>
    </dataValidation>
    <dataValidation type="list" errorStyle="warning" allowBlank="1" showInputMessage="1" showErrorMessage="1" errorTitle="Exposition juridique" error="Choisissez une valeur dans la liste." sqref="E54">
      <formula1>P_Referentiels!$C$68:$C$70</formula1>
    </dataValidation>
    <dataValidation type="list" allowBlank="1" showInputMessage="1" showErrorMessage="1" errorTitle="Fonds propres négatifs" error="Choisissez Oui ou Non (ou laissez vide si inconnu)." sqref="E55">
      <formula1>"Oui,Non"</formula1>
    </dataValidation>
    <dataValidation type="list" allowBlank="1" showInputMessage="1" showErrorMessage="1" errorTitle="Impasse de trésorerie persistan" error="Choisissez Oui ou Non (ou laissez vide si inconnu)." sqref="E56">
      <formula1>"Oui,Non"</formula1>
    </dataValidation>
    <dataValidation type="list" allowBlank="1" showInputMessage="1" showErrorMessage="1" errorTitle="Autorisation de travaux bloquan" error="Choisissez Oui ou Non (ou laissez vide si inconnu)." sqref="E57">
      <formula1>"Oui,Non"</formula1>
    </dataValidation>
    <dataValidation type="list" allowBlank="1" showInputMessage="1" showErrorMessage="1" errorTitle="Financement des acquéreurs à ri" error="Choisissez Oui ou Non (ou laissez vide si inconnu)." sqref="E58">
      <formula1>"Oui,Non"</formula1>
    </dataValidation>
    <dataValidation type="list" allowBlank="1" showInputMessage="1" showErrorMessage="1" errorTitle="Mainlevée sous-tarifée" error="Choisissez Oui ou Non (ou laissez vide si inconnu)." sqref="E59">
      <formula1>"Oui,Non"</formula1>
    </dataValidation>
    <dataValidation type="list" allowBlank="1" showInputMessage="1" showErrorMessage="1" errorTitle="Limite de division des risques " error="Choisissez Oui ou Non (ou laissez vide si inconnu)." sqref="E60">
      <formula1>"Oui,Non"</formula1>
    </dataValidation>
    <dataValidation type="list" allowBlank="1" showInputMessage="1" showErrorMessage="1" errorTitle="Déblocages en avance sur les tr" error="Choisissez Oui ou Non (ou laissez vide si inconnu)." sqref="E61">
      <formula1>"Oui,Non"</formula1>
    </dataValidation>
    <dataValidation type="list" allowBlank="1" showInputMessage="1" showErrorMessage="1" errorTitle="Plan de tirage en retard" error="Choisissez Oui ou Non (ou laissez vide si inconnu)." sqref="E62">
      <formula1>"Oui,Non"</formula1>
    </dataValidation>
    <dataValidation type="list" allowBlank="1" showInputMessage="1" showErrorMessage="1" errorTitle="Équipement exigé en retard (réc" error="Choisissez Oui ou Non (ou laissez vide si inconnu)." sqref="E63">
      <formula1>"Oui,Non"</formula1>
    </dataValidation>
    <dataValidation type="list" allowBlank="1" showInputMessage="1" showErrorMessage="1" errorTitle="Composante commerciale / hôteli" error="Choisissez Oui ou Non (ou laissez vide si inconnu)." sqref="E64">
      <formula1>"Oui,Non"</formula1>
    </dataValidation>
  </dataValidations>
  <hyperlinks>
    <hyperlink ref="H10" location="Fiche!A1" display="→ Ouvrir la fiche de résultat"/>
  </hyperlink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pageSetUpPr fitToPage="1"/>
  </sheetPr>
  <dimension ref="A1:I40"/>
  <sheetViews>
    <sheetView showGridLines="0" workbookViewId="0"/>
  </sheetViews>
  <sheetFormatPr defaultRowHeight="15" x14ac:dyDescent="0.25"/>
  <cols>
    <col min="1" max="1" width="30.7109375" customWidth="1"/>
    <col min="2" max="4" width="19.7109375" customWidth="1"/>
    <col min="5" max="6" width="13.7109375" customWidth="1"/>
    <col min="8" max="9" width="10.7109375" hidden="1" customWidth="1"/>
  </cols>
  <sheetData>
    <row r="1" spans="1:6" x14ac:dyDescent="0.25">
      <c r="A1" s="12" t="str">
        <f>"Fiche de scoring — "&amp;IF(Saisie!C4="","(dossier sans référence)",Saisie!C4)</f>
        <v>Fiche de scoring — EXEMPLE</v>
      </c>
    </row>
    <row r="2" spans="1:6" x14ac:dyDescent="0.25">
      <c r="A2" s="22" t="str">
        <f>IF(Saisie!C5="","",Saisie!C5)</f>
        <v>Dossier d'exemple — à remplacer (ruban « Scoring PI » › Nouveau dossier)</v>
      </c>
    </row>
    <row r="3" spans="1:6" x14ac:dyDescent="0.25">
      <c r="A3" s="2" t="str">
        <f>"Modèle PI_PROMOTION "&amp;P_Version&amp;" · outil 5.1"</f>
        <v>Modèle PI_PROMOTION v5.0.0 · outil 5.1</v>
      </c>
      <c r="E3" s="23" t="s">
        <v>770</v>
      </c>
      <c r="F3" s="24">
        <f>TODAY()</f>
        <v>46300.0</v>
      </c>
    </row>
    <row r="5" spans="1:6" x14ac:dyDescent="0.25">
      <c r="A5" s="25" t="s">
        <v>771</v>
      </c>
      <c r="B5" s="25" t="s">
        <v>556</v>
      </c>
      <c r="C5" s="25"/>
      <c r="D5" s="25" t="s">
        <v>557</v>
      </c>
      <c r="E5" s="25"/>
      <c r="F5" s="25"/>
    </row>
    <row r="6" spans="1:6" ht="26" customHeight="1" x14ac:dyDescent="0.25">
      <c r="A6" s="26">
        <f>Res_ScoreFinal</f>
        <v>68.46</v>
      </c>
      <c r="B6" s="27" t="str">
        <f>IFERROR(VLOOKUP(Res_Decision,P_DecTbl,2,FALSE),Res_Decision)</f>
        <v>Favorable sous conditions</v>
      </c>
      <c r="C6" s="27"/>
      <c r="D6" s="27" t="str">
        <f>Res_ClasseInt</f>
        <v>Surveillance</v>
      </c>
      <c r="E6" s="27"/>
      <c r="F6" s="27"/>
    </row>
    <row r="7" spans="1:6" ht="26" customHeight="1" x14ac:dyDescent="0.25">
      <c r="A7" s="26"/>
      <c r="B7" s="27"/>
      <c r="C7" s="27"/>
      <c r="D7" s="27"/>
      <c r="E7" s="27"/>
      <c r="F7" s="27"/>
    </row>
    <row r="9" spans="1:6" x14ac:dyDescent="0.25">
      <c r="A9" s="13" t="s">
        <v>772</v>
      </c>
      <c r="B9" s="13"/>
      <c r="C9" s="13"/>
      <c r="D9" s="13"/>
      <c r="E9" s="13"/>
      <c r="F9" s="13"/>
    </row>
    <row r="10" spans="1:6" x14ac:dyDescent="0.25">
      <c r="A10" s="28" t="s">
        <v>773</v>
      </c>
      <c r="B10" s="29" t="str">
        <f>IF(Saisie!C6="","(segment non renseigné)",Saisie!C6)&amp;" · "&amp;IF(Saisie!C7="","(zone non renseignée)",Saisie!C7)</f>
        <v>Moyen-haut standing · Casablanca — centre</v>
      </c>
      <c r="C10" s="29"/>
      <c r="D10" s="29"/>
      <c r="E10" s="29"/>
      <c r="F10" s="29"/>
    </row>
    <row r="11" spans="1:6" x14ac:dyDescent="0.25">
      <c r="A11" s="28" t="s">
        <v>552</v>
      </c>
      <c r="B11" s="29" t="str">
        <f>IF(Saisie!C8="","(non renseignée — dossier incomplet)",IFERROR(VLOOKUP(Saisie!C8,P_Classes,2,FALSE),Saisie!C8))</f>
        <v>Créance saine</v>
      </c>
      <c r="C11" s="29"/>
      <c r="D11" s="29"/>
      <c r="E11" s="29"/>
      <c r="F11" s="29"/>
    </row>
    <row r="12" spans="1:6" x14ac:dyDescent="0.25">
      <c r="A12" s="28" t="s">
        <v>774</v>
      </c>
      <c r="B12" s="29" t="str">
        <f>FIXED(Res_EcoScore,1)&amp;" / 100   ·   sûretés : "&amp;IF(ISNUMBER(Res_GuarScore),FIXED(Res_GuarScore,1)&amp;" / 100","n/a")</f>
        <v>92.5 / 100   ·   sûretés : 100.0 / 100</v>
      </c>
      <c r="C12" s="29"/>
      <c r="D12" s="29"/>
      <c r="E12" s="29"/>
      <c r="F12" s="29"/>
    </row>
    <row r="13" spans="1:6" x14ac:dyDescent="0.25">
      <c r="A13" s="28" t="s">
        <v>775</v>
      </c>
      <c r="B13" s="29" t="str">
        <f>FIXED(Res_Malus,0)&amp;" point(s)"</f>
        <v>25 point(s)</v>
      </c>
      <c r="C13" s="29"/>
      <c r="D13" s="29"/>
      <c r="E13" s="29"/>
      <c r="F13" s="29"/>
    </row>
    <row r="14" spans="1:6" x14ac:dyDescent="0.25">
      <c r="A14" s="28" t="s">
        <v>776</v>
      </c>
      <c r="B14" s="29" t="str">
        <f>IF(ISNUMBER(Res_PD),FIXED(Res_PD*100,1)&amp;" %","n/d (dossier incomplet)")</f>
        <v>3.7 %</v>
      </c>
      <c r="C14" s="29"/>
      <c r="D14" s="29"/>
      <c r="E14" s="29"/>
      <c r="F14" s="29"/>
    </row>
    <row r="15" spans="1:6" x14ac:dyDescent="0.25">
      <c r="A15" s="28" t="s">
        <v>558</v>
      </c>
      <c r="B15" s="29" t="str">
        <f>Saisie!I7</f>
        <v>37 / 37</v>
      </c>
      <c r="C15" s="29"/>
      <c r="D15" s="29"/>
      <c r="E15" s="29"/>
      <c r="F15" s="29"/>
    </row>
    <row r="16" spans="1:6" ht="44" customHeight="1" x14ac:dyDescent="0.25">
      <c r="A16" s="28" t="s">
        <v>559</v>
      </c>
      <c r="B16" s="29" t="str">
        <f>IF(Res_Manquantes="","Aucune",Res_Manquantes)</f>
        <v>Aucune</v>
      </c>
      <c r="C16" s="29"/>
      <c r="D16" s="29"/>
      <c r="E16" s="29"/>
      <c r="F16" s="29"/>
    </row>
    <row r="17" spans="1:6" ht="44" customHeight="1" x14ac:dyDescent="0.25">
      <c r="A17" s="28" t="s">
        <v>777</v>
      </c>
      <c r="B17" s="29" t="str">
        <f>IF(Res_Conditions="","Aucune",Res_Conditions)</f>
        <v>Aucune</v>
      </c>
      <c r="C17" s="29"/>
      <c r="D17" s="29"/>
      <c r="E17" s="29"/>
      <c r="F17" s="29"/>
    </row>
    <row r="18" spans="1:6" ht="44" customHeight="1" x14ac:dyDescent="0.25">
      <c r="A18" s="28" t="s">
        <v>778</v>
      </c>
      <c r="B18" s="29" t="str">
        <f>IF(Res_AlertesLib="","Aucune",Res_AlertesLib)</f>
        <v>Cash coverage &lt; 1,0x</v>
      </c>
      <c r="C18" s="29"/>
      <c r="D18" s="29"/>
      <c r="E18" s="29"/>
      <c r="F18" s="29"/>
    </row>
    <row r="19" spans="1:6" x14ac:dyDescent="0.25">
      <c r="A19" s="28" t="s">
        <v>732</v>
      </c>
      <c r="B19" s="29" t="str">
        <f>IF(Res_Comite,"Oui","Non")</f>
        <v>Non</v>
      </c>
      <c r="C19" s="29"/>
      <c r="D19" s="29"/>
      <c r="E19" s="29"/>
      <c r="F19" s="29"/>
    </row>
    <row r="21" spans="1:6" x14ac:dyDescent="0.25">
      <c r="A21" s="13" t="s">
        <v>741</v>
      </c>
      <c r="B21" s="13"/>
      <c r="C21" s="13"/>
      <c r="D21" s="13"/>
      <c r="E21" s="13"/>
      <c r="F21" s="13"/>
    </row>
    <row r="22" spans="1:6" x14ac:dyDescent="0.25">
      <c r="A22" s="19" t="s">
        <v>109</v>
      </c>
      <c r="B22" s="19" t="s">
        <v>779</v>
      </c>
      <c r="C22" s="19" t="s">
        <v>20</v>
      </c>
      <c r="D22" s="19" t="s">
        <v>743</v>
      </c>
    </row>
    <row r="23" spans="1:6" x14ac:dyDescent="0.25">
      <c r="A23" s="29" t="str">
        <f>IF(Resultat!$A$32="","",Resultat!$A$32&amp;" — "&amp;Resultat!$B$32)</f>
        <v>D1 — Sponsor &amp; Gouvernance</v>
      </c>
      <c r="B23" s="30">
        <f>IF(Resultat!$A$32="","",Resultat!$C$32)</f>
        <v>100.0</v>
      </c>
      <c r="C23" s="31">
        <f>IF(Resultat!$A$32="","",Resultat!$D$32)</f>
        <v>0.25</v>
      </c>
      <c r="D23" s="30">
        <f>IF(Resultat!$A$32="","",Resultat!$E$32)</f>
        <v>25.0</v>
      </c>
    </row>
    <row r="24" spans="1:6" x14ac:dyDescent="0.25">
      <c r="A24" s="29" t="str">
        <f>IF(Resultat!$A$33="","",Resultat!$A$33&amp;" — "&amp;Resultat!$B$33)</f>
        <v>D2 — Qualité intrinsèque du projet</v>
      </c>
      <c r="B24" s="30">
        <f>IF(Resultat!$A$33="","",Resultat!$C$33)</f>
        <v>100.0</v>
      </c>
      <c r="C24" s="31">
        <f>IF(Resultat!$A$33="","",Resultat!$D$33)</f>
        <v>0.2</v>
      </c>
      <c r="D24" s="30">
        <f>IF(Resultat!$A$33="","",Resultat!$E$33)</f>
        <v>20.0</v>
      </c>
    </row>
    <row r="25" spans="1:6" x14ac:dyDescent="0.25">
      <c r="A25" s="29" t="str">
        <f>IF(Resultat!$A$34="","",Resultat!$A$34&amp;" — "&amp;Resultat!$B$34)</f>
        <v>D3 — Commercial &amp; Cash-flow</v>
      </c>
      <c r="B25" s="30">
        <f>IF(Resultat!$A$34="","",Resultat!$C$34)</f>
        <v>82.0</v>
      </c>
      <c r="C25" s="31">
        <f>IF(Resultat!$A$34="","",Resultat!$D$34)</f>
        <v>0.31</v>
      </c>
      <c r="D25" s="30">
        <f>IF(Resultat!$A$34="","",Resultat!$E$34)</f>
        <v>25.42</v>
      </c>
    </row>
    <row r="26" spans="1:6" x14ac:dyDescent="0.25">
      <c r="A26" s="29" t="str">
        <f>IF(Resultat!$A$35="","",Resultat!$A$35&amp;" — "&amp;Resultat!$B$35)</f>
        <v>D4 — Structuration financière &amp; LGD</v>
      </c>
      <c r="B26" s="30">
        <f>IF(Resultat!$A$35="","",Resultat!$C$35)</f>
        <v>96.0</v>
      </c>
      <c r="C26" s="31">
        <f>IF(Resultat!$A$35="","",Resultat!$D$35)</f>
        <v>0.24</v>
      </c>
      <c r="D26" s="30">
        <f>IF(Resultat!$A$35="","",Resultat!$E$35)</f>
        <v>23.04</v>
      </c>
    </row>
    <row r="27" spans="1:6" x14ac:dyDescent="0.25">
      <c r="A27" s="29">
        <f>IF(Resultat!$A$36="","",Resultat!$A$36&amp;" — "&amp;Resultat!$B$36)</f>
        <v/>
      </c>
      <c r="B27" s="30">
        <f>IF(Resultat!$A$36="","",Resultat!$C$36)</f>
        <v/>
      </c>
      <c r="C27" s="31">
        <f>IF(Resultat!$A$36="","",Resultat!$D$36)</f>
        <v/>
      </c>
      <c r="D27" s="30">
        <f>IF(Resultat!$A$36="","",Resultat!$E$36)</f>
        <v/>
      </c>
    </row>
    <row r="28" spans="1:6" x14ac:dyDescent="0.25">
      <c r="A28" s="29">
        <f>IF(Resultat!$A$37="","",Resultat!$A$37&amp;" — "&amp;Resultat!$B$37)</f>
        <v/>
      </c>
      <c r="B28" s="30">
        <f>IF(Resultat!$A$37="","",Resultat!$C$37)</f>
        <v/>
      </c>
      <c r="C28" s="31">
        <f>IF(Resultat!$A$37="","",Resultat!$D$37)</f>
        <v/>
      </c>
      <c r="D28" s="30">
        <f>IF(Resultat!$A$37="","",Resultat!$E$37)</f>
        <v/>
      </c>
    </row>
    <row r="29" spans="1:6" x14ac:dyDescent="0.25">
      <c r="A29" s="29">
        <f>IF(Resultat!$A$38="","",Resultat!$A$38&amp;" — "&amp;Resultat!$B$38)</f>
        <v/>
      </c>
      <c r="B29" s="30">
        <f>IF(Resultat!$A$38="","",Resultat!$C$38)</f>
        <v/>
      </c>
      <c r="C29" s="31">
        <f>IF(Resultat!$A$38="","",Resultat!$D$38)</f>
        <v/>
      </c>
      <c r="D29" s="30">
        <f>IF(Resultat!$A$38="","",Resultat!$E$38)</f>
        <v/>
      </c>
    </row>
    <row r="30" spans="1:6" x14ac:dyDescent="0.25">
      <c r="A30" s="29">
        <f>IF(Resultat!$A$39="","",Resultat!$A$39&amp;" — "&amp;Resultat!$B$39)</f>
        <v/>
      </c>
      <c r="B30" s="30">
        <f>IF(Resultat!$A$39="","",Resultat!$C$39)</f>
        <v/>
      </c>
      <c r="C30" s="31">
        <f>IF(Resultat!$A$39="","",Resultat!$D$39)</f>
        <v/>
      </c>
      <c r="D30" s="30">
        <f>IF(Resultat!$A$39="","",Resultat!$E$39)</f>
        <v/>
      </c>
    </row>
    <row r="32" spans="1:6" x14ac:dyDescent="0.25">
      <c r="A32" s="13" t="s">
        <v>780</v>
      </c>
      <c r="B32" s="13"/>
      <c r="C32" s="13"/>
      <c r="D32" s="13"/>
      <c r="E32" s="13"/>
      <c r="F32" s="13"/>
    </row>
    <row r="33" spans="1:9" x14ac:dyDescent="0.25">
      <c r="A33" s="19" t="s">
        <v>241</v>
      </c>
      <c r="B33" s="19" t="s">
        <v>109</v>
      </c>
      <c r="C33" s="19" t="s">
        <v>781</v>
      </c>
      <c r="D33" s="19"/>
      <c r="E33" s="19" t="s">
        <v>782</v>
      </c>
      <c r="F33" s="19"/>
    </row>
    <row r="34" spans="1:9" ht="30" customHeight="1" x14ac:dyDescent="0.25">
      <c r="A34" s="29" t="str">
        <f>IF(I34="","",INDEX(Resultat!$C$44:$C$103,I34))</f>
        <v>Cash coverage (cash / échéances)</v>
      </c>
      <c r="B34" s="29" t="str">
        <f>IF(I34="","",IFERROR(INDEX(P_DomNoms,MATCH(INDEX(Resultat!$B$44:$B$103,I34),P_DomCodes,0)),""))</f>
        <v>Commercial &amp; Cash-flow</v>
      </c>
      <c r="C34" s="29">
        <f>IF(I34="","",INDEX(Resultat!$V$44:$V$103,I34))</f>
        <v>0.99</v>
      </c>
      <c r="D34" s="29"/>
      <c r="E34" s="32">
        <f>IF(I34="","",INDEX(Resultat!$F$44:$F$103,I34))</f>
        <v>1.0</v>
      </c>
      <c r="F34" s="32"/>
      <c r="H34" s="5">
        <f>IFERROR(SMALL(Resultat!$U$44:$U$103,1),"")</f>
        <v>1.000065</v>
      </c>
      <c r="I34" s="5">
        <f>IF(H34="","",MATCH(H34,Resultat!$U$44:$U$103,0))</f>
        <v>22.0</v>
      </c>
    </row>
    <row r="35" spans="1:9" ht="30" customHeight="1" x14ac:dyDescent="0.25">
      <c r="A35" s="29" t="str">
        <f>IF(I35="","",INDEX(Resultat!$C$44:$C$103,I35))</f>
        <v>LTC (dette / coût total)</v>
      </c>
      <c r="B35" s="29" t="str">
        <f>IF(I35="","",IFERROR(INDEX(P_DomNoms,MATCH(INDEX(Resultat!$B$44:$B$103,I35),P_DomCodes,0)),""))</f>
        <v>Structuration financière &amp; LGD</v>
      </c>
      <c r="C35" s="29">
        <f>IF(I35="","",INDEX(Resultat!$V$44:$V$103,I35))</f>
        <v>61.0</v>
      </c>
      <c r="D35" s="29"/>
      <c r="E35" s="32">
        <f>IF(I35="","",INDEX(Resultat!$F$44:$F$103,I35))</f>
        <v>6.0</v>
      </c>
      <c r="F35" s="32"/>
      <c r="H35" s="5">
        <f>IFERROR(SMALL(Resultat!$U$44:$U$103,2),"")</f>
        <v>6.000073</v>
      </c>
      <c r="I35" s="5">
        <f>IF(H35="","",MATCH(H35,Resultat!$U$44:$U$103,0))</f>
        <v>30.0</v>
      </c>
    </row>
    <row r="36" spans="1:9" ht="30" customHeight="1" x14ac:dyDescent="0.25">
      <c r="A36" s="29" t="str">
        <f>IF(I36="","",INDEX(Resultat!$C$44:$C$103,I36))</f>
        <v>Projets similaires livrés (5 ans)</v>
      </c>
      <c r="B36" s="29" t="str">
        <f>IF(I36="","",IFERROR(INDEX(P_DomNoms,MATCH(INDEX(Resultat!$B$44:$B$103,I36),P_DomCodes,0)),""))</f>
        <v>Sponsor &amp; Gouvernance</v>
      </c>
      <c r="C36" s="29">
        <f>IF(I36="","",INDEX(Resultat!$V$44:$V$103,I36))</f>
        <v>8.0</v>
      </c>
      <c r="D36" s="29"/>
      <c r="E36" s="32">
        <f>IF(I36="","",INDEX(Resultat!$F$44:$F$103,I36))</f>
        <v>10.0</v>
      </c>
      <c r="F36" s="32"/>
      <c r="H36" s="5">
        <f>IFERROR(SMALL(Resultat!$U$44:$U$103,3),"")</f>
        <v>10.000044</v>
      </c>
      <c r="I36" s="5">
        <f>IF(H36="","",MATCH(H36,Resultat!$U$44:$U$103,0))</f>
        <v>1.0</v>
      </c>
    </row>
    <row r="37" spans="1:9" ht="30" customHeight="1" x14ac:dyDescent="0.25">
      <c r="A37" s="29" t="str">
        <f>IF(I37="","",INDEX(Resultat!$C$44:$C$103,I37))</f>
        <v>Gearing promoteur (dettes nettes / FP)</v>
      </c>
      <c r="B37" s="29" t="str">
        <f>IF(I37="","",IFERROR(INDEX(P_DomNoms,MATCH(INDEX(Resultat!$B$44:$B$103,I37),P_DomCodes,0)),""))</f>
        <v>Sponsor &amp; Gouvernance</v>
      </c>
      <c r="C37" s="29">
        <f>IF(I37="","",INDEX(Resultat!$V$44:$V$103,I37))</f>
        <v>85.0</v>
      </c>
      <c r="D37" s="29"/>
      <c r="E37" s="32">
        <f>IF(I37="","",INDEX(Resultat!$F$44:$F$103,I37))</f>
        <v>10.0</v>
      </c>
      <c r="F37" s="32"/>
      <c r="H37" s="5">
        <f>IFERROR(SMALL(Resultat!$U$44:$U$103,4),"")</f>
        <v>10.000045</v>
      </c>
      <c r="I37" s="5">
        <f>IF(H37="","",MATCH(H37,Resultat!$U$44:$U$103,0))</f>
        <v>2.0</v>
      </c>
    </row>
    <row r="38" spans="1:9" ht="30" customHeight="1" x14ac:dyDescent="0.25">
      <c r="A38" s="29" t="str">
        <f>IF(I38="","",INDEX(Resultat!$C$44:$C$103,I38))</f>
        <v>Gouvernance &amp; structure juridique</v>
      </c>
      <c r="B38" s="29" t="str">
        <f>IF(I38="","",IFERROR(INDEX(P_DomNoms,MATCH(INDEX(Resultat!$B$44:$B$103,I38),P_DomCodes,0)),""))</f>
        <v>Sponsor &amp; Gouvernance</v>
      </c>
      <c r="C38" s="29" t="str">
        <f>IF(I38="","",INDEX(Resultat!$V$44:$V$103,I38))</f>
        <v>Claire / structurée</v>
      </c>
      <c r="D38" s="29"/>
      <c r="E38" s="32">
        <f>IF(I38="","",INDEX(Resultat!$F$44:$F$103,I38))</f>
        <v>10.0</v>
      </c>
      <c r="F38" s="32"/>
      <c r="H38" s="5">
        <f>IFERROR(SMALL(Resultat!$U$44:$U$103,5),"")</f>
        <v>10.000046</v>
      </c>
      <c r="I38" s="5">
        <f>IF(H38="","",MATCH(H38,Resultat!$U$44:$U$103,0))</f>
        <v>3.0</v>
      </c>
    </row>
    <row r="40" spans="1:9" ht="24" customHeight="1" x14ac:dyDescent="0.25">
      <c r="A40" s="33" t="s">
        <v>783</v>
      </c>
      <c r="B40" s="33"/>
      <c r="C40" s="33"/>
      <c r="D40" s="33"/>
      <c r="E40" s="33"/>
      <c r="F40" s="33"/>
    </row>
  </sheetData>
  <sheetProtection sheet="1" objects="1" scenarios="1" formatColumns="0" formatRows="0"/>
  <mergeCells count="31">
    <mergeCell ref="B5:C5"/>
    <mergeCell ref="D5:F5"/>
    <mergeCell ref="A6:A7"/>
    <mergeCell ref="B6:C7"/>
    <mergeCell ref="D6:F7"/>
    <mergeCell ref="A9:F9"/>
    <mergeCell ref="B10:F10"/>
    <mergeCell ref="B11:F11"/>
    <mergeCell ref="B12:F12"/>
    <mergeCell ref="B13:F13"/>
    <mergeCell ref="B14:F14"/>
    <mergeCell ref="B15:F15"/>
    <mergeCell ref="B16:F16"/>
    <mergeCell ref="B17:F17"/>
    <mergeCell ref="B18:F18"/>
    <mergeCell ref="B19:F19"/>
    <mergeCell ref="A21:F21"/>
    <mergeCell ref="A32:F32"/>
    <mergeCell ref="C33:D33"/>
    <mergeCell ref="E33:F33"/>
    <mergeCell ref="C34:D34"/>
    <mergeCell ref="E34:F34"/>
    <mergeCell ref="C35:D35"/>
    <mergeCell ref="E35:F35"/>
    <mergeCell ref="C36:D36"/>
    <mergeCell ref="E36:F36"/>
    <mergeCell ref="C37:D37"/>
    <mergeCell ref="E37:F37"/>
    <mergeCell ref="C38:D38"/>
    <mergeCell ref="E38:F38"/>
    <mergeCell ref="A40:F40"/>
  </mergeCells>
  <conditionalFormatting sqref="A6:A7">
    <cfRule type="expression" dxfId="7" priority="1">
      <formula>Res_Decision="GO"</formula>
    </cfRule>
    <cfRule type="expression" dxfId="8" priority="4">
      <formula>Res_Decision="GO_WITH_CONDITIONS"</formula>
    </cfRule>
    <cfRule type="expression" dxfId="9" priority="7">
      <formula>Res_Decision="WATCH_LIST"</formula>
    </cfRule>
    <cfRule type="expression" dxfId="10" priority="10">
      <formula>Res_Decision="NO_GO"</formula>
    </cfRule>
    <cfRule type="expression" dxfId="11" priority="13">
      <formula>Res_Decision="DOSSIER_INCOMPLET"</formula>
    </cfRule>
  </conditionalFormatting>
  <conditionalFormatting sqref="B16:F16">
    <cfRule type="expression" dxfId="12" priority="16">
      <formula>$B$16&lt;&gt;"Aucune"</formula>
    </cfRule>
  </conditionalFormatting>
  <conditionalFormatting sqref="B17:F17">
    <cfRule type="expression" dxfId="12" priority="17">
      <formula>$B$17&lt;&gt;"Aucune"</formula>
    </cfRule>
  </conditionalFormatting>
  <conditionalFormatting sqref="B18:F18">
    <cfRule type="expression" dxfId="12" priority="18">
      <formula>$B$18&lt;&gt;"Aucune"</formula>
    </cfRule>
  </conditionalFormatting>
  <conditionalFormatting sqref="B19:F19">
    <cfRule type="expression" dxfId="13" priority="19">
      <formula>$B$19="Oui"</formula>
    </cfRule>
  </conditionalFormatting>
  <conditionalFormatting sqref="B23:B30">
    <cfRule type="dataBar" priority="20">
      <dataBar>
        <cfvo type="num" val="0"/>
        <cfvo type="num" val="100"/>
        <color rgb="FF5B9BD5"/>
      </dataBar>
      <extLst>
        <ext xmlns:x14="http://schemas.microsoft.com/office/spreadsheetml/2009/9/main" uri="{B025F937-C7B1-47D3-B67F-A62EFF666E3E}">
          <x14:id>{DA7ABA51-AAAA-BBBB-0003-000000000001}</x14:id>
        </ext>
      </extLst>
    </cfRule>
  </conditionalFormatting>
  <conditionalFormatting sqref="B6:C7">
    <cfRule type="expression" dxfId="7" priority="2">
      <formula>Res_Decision="GO"</formula>
    </cfRule>
    <cfRule type="expression" dxfId="8" priority="5">
      <formula>Res_Decision="GO_WITH_CONDITIONS"</formula>
    </cfRule>
    <cfRule type="expression" dxfId="9" priority="8">
      <formula>Res_Decision="WATCH_LIST"</formula>
    </cfRule>
    <cfRule type="expression" dxfId="10" priority="11">
      <formula>Res_Decision="NO_GO"</formula>
    </cfRule>
    <cfRule type="expression" dxfId="11" priority="14">
      <formula>Res_Decision="DOSSIER_INCOMPLET"</formula>
    </cfRule>
  </conditionalFormatting>
  <conditionalFormatting sqref="D6:F7">
    <cfRule type="expression" dxfId="7" priority="3">
      <formula>Res_Decision="GO"</formula>
    </cfRule>
    <cfRule type="expression" dxfId="8" priority="6">
      <formula>Res_Decision="GO_WITH_CONDITIONS"</formula>
    </cfRule>
    <cfRule type="expression" dxfId="9" priority="9">
      <formula>Res_Decision="WATCH_LIST"</formula>
    </cfRule>
    <cfRule type="expression" dxfId="10" priority="12">
      <formula>Res_Decision="NO_GO"</formula>
    </cfRule>
    <cfRule type="expression" dxfId="11" priority="15">
      <formula>Res_Decision="DOSSIER_INCOMPLET"</formula>
    </cfRule>
  </conditionalFormatting>
  <conditionalFormatting sqref="E34:F38">
    <cfRule type="cellIs" dxfId="3" priority="21" operator="lessThan">
      <formula>5</formula>
    </cfRule>
    <cfRule type="cellIs" dxfId="2" priority="22" operator="between">
      <formula>5</formula>
      <formula>6.99</formula>
    </cfRule>
  </conditionalFormatting>
  <printOptions horizontalCentered="1"/>
  <pageMargins left="0.5" right="0.5" top="0.6" bottom="0.6" header="0.3" footer="0.3"/>
  <pageSetup paperSize="9" orientation="portrait"/>
  <headerFooter>
    <oddFooter>&amp;L&amp;8Scoring PI — promotion immobilière&amp;R&amp;8&amp;D</oddFooter>
  </headerFooter>
  <extLst>
    <ext xmlns:x14="http://schemas.microsoft.com/office/spreadsheetml/2009/9/main" uri="{78C0D931-6437-407d-A8EE-F0AAD7539E65}">
      <x14:conditionalFormattings>
        <x14:conditionalFormatting xmlns:xm="http://schemas.microsoft.com/office/excel/2006/main">
          <x14:cfRule type="dataBar" id="{DA7ABA51-AAAA-BBBB-0003-000000000001}">
            <x14:dataBar minLength="0" maxLength="100" border="1" gradient="0" negativeBarBorderColorSameAsPositive="0">
              <x14:cfvo type="num">
                <xm:f>0</xm:f>
              </x14:cfvo>
              <x14:cfvo type="num">
                <xm:f>100</xm:f>
              </x14:cfvo>
              <x14:borderColor rgb="FF5B9BD5"/>
              <x14:negativeFillColor rgb="FFFF0000"/>
              <x14:negativeBorderColor rgb="FFFF0000"/>
              <x14:axisColor rgb="FF000000"/>
            </x14:dataBar>
          </x14:cfRule>
          <xm:sqref>B23:B30</xm:sqref>
        </x14:conditionalFormatting>
      </x14:conditionalFormattings>
    </ext>
  </extLst>
</worksheet>
</file>

<file path=xl/worksheets/sheet4.xml><?xml version="1.0" encoding="utf-8"?>
<worksheet xmlns="http://schemas.openxmlformats.org/spreadsheetml/2006/main" xmlns:r="http://schemas.openxmlformats.org/officeDocument/2006/relationships">
  <sheetPr>
    <tabColor rgb="FFFFC000"/>
  </sheetPr>
  <dimension ref="A1:K190"/>
  <sheetViews>
    <sheetView workbookViewId="0"/>
  </sheetViews>
  <sheetFormatPr defaultRowHeight="15"/>
  <cols>
    <col min="1" max="1" width="30.7109375" customWidth="1"/>
    <col min="2" max="2" width="50.7109375" customWidth="1"/>
    <col min="3" max="8" width="15.7109375" customWidth="1"/>
    <col min="9" max="11" width="13.7109375" customWidth="1"/>
  </cols>
  <sheetData>
    <row r="1" spans="1:7">
      <c r="A1" s="12" t="s">
        <v>616</v>
      </c>
    </row>
    <row r="2" spans="1:7">
      <c r="A2" s="2" t="s">
        <v>617</v>
      </c>
    </row>
    <row r="4" spans="1:7">
      <c r="A4" s="13" t="s">
        <v>618</v>
      </c>
    </row>
    <row r="5" spans="1:7">
      <c r="A5" s="4" t="s">
        <v>619</v>
      </c>
      <c r="B5" s="14" t="s">
        <v>51</v>
      </c>
    </row>
    <row r="7" spans="1:7">
      <c r="A7" s="19" t="s">
        <v>18</v>
      </c>
      <c r="B7" s="19" t="s">
        <v>470</v>
      </c>
      <c r="C7" s="19" t="s">
        <v>620</v>
      </c>
      <c r="D7" s="19" t="s">
        <v>621</v>
      </c>
      <c r="E7" s="19" t="s">
        <v>475</v>
      </c>
      <c r="F7" s="19" t="s">
        <v>476</v>
      </c>
      <c r="G7" s="19" t="s">
        <v>622</v>
      </c>
    </row>
    <row r="8" spans="1:7">
      <c r="A8" s="5" t="str">
        <f>IF(P_Referentiels!A6="","",P_Referentiels!A6)</f>
        <v>note_renseignement</v>
      </c>
      <c r="B8" s="5" t="str">
        <f>IF(A8="","",P_Referentiels!B6)</f>
        <v>Note de renseignements urbanistiques</v>
      </c>
      <c r="C8" s="5" t="b">
        <f>IF(A8="",FALSE,IF($B$5="LOTISSEMENT",P_Referentiels!D6,IF($B$5="CONSTRUCTION",P_Referentiels!E6,P_Referentiels!F6))="Oui")</f>
        <v>1</v>
      </c>
      <c r="D8" s="14"/>
      <c r="E8" s="5" t="b">
        <f>IF(A8="",FALSE,P_Referentiels!G6="Oui")</f>
        <v>0</v>
      </c>
      <c r="F8" s="5" t="b">
        <f>IF(A8="",FALSE,P_Referentiels!H6="Oui")</f>
        <v>0</v>
      </c>
      <c r="G8" s="5" t="b">
        <f>AND(C8,D8&lt;&gt;"Oui")</f>
        <v>1</v>
      </c>
    </row>
    <row r="9" spans="1:7">
      <c r="A9" s="5" t="str">
        <f>IF(P_Referentiels!A7="","",P_Referentiels!A7)</f>
        <v>titre_foncier_purge</v>
      </c>
      <c r="B9" s="5" t="str">
        <f>IF(A9="","",P_Referentiels!B7)</f>
        <v>Titre foncier purgé (sans inscription contraignante)</v>
      </c>
      <c r="C9" s="5" t="b">
        <f>IF(A9="",FALSE,IF($B$5="LOTISSEMENT",P_Referentiels!D7,IF($B$5="CONSTRUCTION",P_Referentiels!E7,P_Referentiels!F7))="Oui")</f>
        <v>1</v>
      </c>
      <c r="D9" s="14"/>
      <c r="E9" s="5" t="b">
        <f>IF(A9="",FALSE,P_Referentiels!G7="Oui")</f>
        <v>1</v>
      </c>
      <c r="F9" s="5" t="b">
        <f>IF(A9="",FALSE,P_Referentiels!H7="Oui")</f>
        <v>0</v>
      </c>
      <c r="G9" s="5" t="b">
        <f>AND(C9,D9&lt;&gt;"Oui")</f>
        <v>1</v>
      </c>
    </row>
    <row r="10" spans="1:7">
      <c r="A10" s="5" t="str">
        <f>IF(P_Referentiels!A8="","",P_Referentiels!A8)</f>
        <v>autorisation_lotir</v>
      </c>
      <c r="B10" s="5" t="str">
        <f>IF(A10="","",P_Referentiels!B8)</f>
        <v>Autorisation de lotir</v>
      </c>
      <c r="C10" s="5" t="b">
        <f>IF(A10="",FALSE,IF($B$5="LOTISSEMENT",P_Referentiels!D8,IF($B$5="CONSTRUCTION",P_Referentiels!E8,P_Referentiels!F8))="Oui")</f>
        <v>0</v>
      </c>
      <c r="D10" s="14"/>
      <c r="E10" s="5" t="b">
        <f>IF(A10="",FALSE,P_Referentiels!G8="Oui")</f>
        <v>1</v>
      </c>
      <c r="F10" s="5" t="b">
        <f>IF(A10="",FALSE,P_Referentiels!H8="Oui")</f>
        <v>0</v>
      </c>
      <c r="G10" s="5" t="b">
        <f>AND(C10,D10&lt;&gt;"Oui")</f>
        <v>0</v>
      </c>
    </row>
    <row r="11" spans="1:7">
      <c r="A11" s="5" t="str">
        <f>IF(P_Referentiels!A9="","",P_Referentiels!A9)</f>
        <v>permis_construire</v>
      </c>
      <c r="B11" s="5" t="str">
        <f>IF(A11="","",P_Referentiels!B9)</f>
        <v>Permis de construire</v>
      </c>
      <c r="C11" s="5" t="b">
        <f>IF(A11="",FALSE,IF($B$5="LOTISSEMENT",P_Referentiels!D9,IF($B$5="CONSTRUCTION",P_Referentiels!E9,P_Referentiels!F9))="Oui")</f>
        <v>1</v>
      </c>
      <c r="D11" s="14"/>
      <c r="E11" s="5" t="b">
        <f>IF(A11="",FALSE,P_Referentiels!G9="Oui")</f>
        <v>1</v>
      </c>
      <c r="F11" s="5" t="b">
        <f>IF(A11="",FALSE,P_Referentiels!H9="Oui")</f>
        <v>0</v>
      </c>
      <c r="G11" s="5" t="b">
        <f>AND(C11,D11&lt;&gt;"Oui")</f>
        <v>1</v>
      </c>
    </row>
    <row r="12" spans="1:7">
      <c r="A12" s="5" t="str">
        <f>IF(P_Referentiels!A10="","",P_Referentiels!A10)</f>
        <v>autorisation_morcellement</v>
      </c>
      <c r="B12" s="5" t="str">
        <f>IF(A12="","",P_Referentiels!B10)</f>
        <v>Autorisation de morcellement / éclatement du titre</v>
      </c>
      <c r="C12" s="5" t="b">
        <f>IF(A12="",FALSE,IF($B$5="LOTISSEMENT",P_Referentiels!D10,IF($B$5="CONSTRUCTION",P_Referentiels!E10,P_Referentiels!F10))="Oui")</f>
        <v>0</v>
      </c>
      <c r="D12" s="14"/>
      <c r="E12" s="5" t="b">
        <f>IF(A12="",FALSE,P_Referentiels!G10="Oui")</f>
        <v>0</v>
      </c>
      <c r="F12" s="5" t="b">
        <f>IF(A12="",FALSE,P_Referentiels!H10="Oui")</f>
        <v>0</v>
      </c>
      <c r="G12" s="5" t="b">
        <f>AND(C12,D12&lt;&gt;"Oui")</f>
        <v>0</v>
      </c>
    </row>
    <row r="13" spans="1:7">
      <c r="A13" s="5" t="str">
        <f>IF(P_Referentiels!A11="","",P_Referentiels!A11)</f>
        <v>reception_provisoire</v>
      </c>
      <c r="B13" s="5" t="str">
        <f>IF(A13="","",P_Referentiels!B11)</f>
        <v>Réception provisoire des travaux</v>
      </c>
      <c r="C13" s="5" t="b">
        <f>IF(A13="",FALSE,IF($B$5="LOTISSEMENT",P_Referentiels!D11,IF($B$5="CONSTRUCTION",P_Referentiels!E11,P_Referentiels!F11))="Oui")</f>
        <v>1</v>
      </c>
      <c r="D13" s="14"/>
      <c r="E13" s="5" t="b">
        <f>IF(A13="",FALSE,P_Referentiels!G11="Oui")</f>
        <v>0</v>
      </c>
      <c r="F13" s="5" t="b">
        <f>IF(A13="",FALSE,P_Referentiels!H11="Oui")</f>
        <v>1</v>
      </c>
      <c r="G13" s="5" t="b">
        <f>AND(C13,D13&lt;&gt;"Oui")</f>
        <v>1</v>
      </c>
    </row>
    <row r="14" spans="1:7">
      <c r="A14" s="5" t="str">
        <f>IF(P_Referentiels!A12="","",P_Referentiels!A12)</f>
        <v>permis_habiter</v>
      </c>
      <c r="B14" s="5" t="str">
        <f>IF(A14="","",P_Referentiels!B12)</f>
        <v>Permis d'habiter</v>
      </c>
      <c r="C14" s="5" t="b">
        <f>IF(A14="",FALSE,IF($B$5="LOTISSEMENT",P_Referentiels!D12,IF($B$5="CONSTRUCTION",P_Referentiels!E12,P_Referentiels!F12))="Oui")</f>
        <v>1</v>
      </c>
      <c r="D14" s="14"/>
      <c r="E14" s="5" t="b">
        <f>IF(A14="",FALSE,P_Referentiels!G12="Oui")</f>
        <v>0</v>
      </c>
      <c r="F14" s="5" t="b">
        <f>IF(A14="",FALSE,P_Referentiels!H12="Oui")</f>
        <v>1</v>
      </c>
      <c r="G14" s="5" t="b">
        <f>AND(C14,D14&lt;&gt;"Oui")</f>
        <v>1</v>
      </c>
    </row>
    <row r="15" spans="1:7">
      <c r="A15" s="5" t="str">
        <f>IF(P_Referentiels!A13="","",P_Referentiels!A13)</f>
        <v>certificat_conformite</v>
      </c>
      <c r="B15" s="5" t="str">
        <f>IF(A15="","",P_Referentiels!B13)</f>
        <v>Certificat de conformité</v>
      </c>
      <c r="C15" s="5" t="b">
        <f>IF(A15="",FALSE,IF($B$5="LOTISSEMENT",P_Referentiels!D13,IF($B$5="CONSTRUCTION",P_Referentiels!E13,P_Referentiels!F13))="Oui")</f>
        <v>1</v>
      </c>
      <c r="D15" s="14"/>
      <c r="E15" s="5" t="b">
        <f>IF(A15="",FALSE,P_Referentiels!G13="Oui")</f>
        <v>0</v>
      </c>
      <c r="F15" s="5" t="b">
        <f>IF(A15="",FALSE,P_Referentiels!H13="Oui")</f>
        <v>1</v>
      </c>
      <c r="G15" s="5" t="b">
        <f>AND(C15,D15&lt;&gt;"Oui")</f>
        <v>1</v>
      </c>
    </row>
    <row r="16" spans="1:7">
      <c r="A16" s="5" t="str">
        <f>IF(P_Referentiels!A14="","",P_Referentiels!A14)</f>
        <v>reception_definitive</v>
      </c>
      <c r="B16" s="5" t="str">
        <f>IF(A16="","",P_Referentiels!B14)</f>
        <v>Réception définitive</v>
      </c>
      <c r="C16" s="5" t="b">
        <f>IF(A16="",FALSE,IF($B$5="LOTISSEMENT",P_Referentiels!D14,IF($B$5="CONSTRUCTION",P_Referentiels!E14,P_Referentiels!F14))="Oui")</f>
        <v>1</v>
      </c>
      <c r="D16" s="14"/>
      <c r="E16" s="5" t="b">
        <f>IF(A16="",FALSE,P_Referentiels!G14="Oui")</f>
        <v>0</v>
      </c>
      <c r="F16" s="5" t="b">
        <f>IF(A16="",FALSE,P_Referentiels!H14="Oui")</f>
        <v>0</v>
      </c>
      <c r="G16" s="5" t="b">
        <f>AND(C16,D16&lt;&gt;"Oui")</f>
        <v>1</v>
      </c>
    </row>
    <row r="17" spans="1:7">
      <c r="A17" s="5">
        <f>IF(P_Referentiels!A15="","",P_Referentiels!A15)</f>
        <v/>
      </c>
      <c r="B17" s="5">
        <f>IF(A17="","",P_Referentiels!B15)</f>
        <v/>
      </c>
      <c r="C17" s="5" t="b">
        <f>IF(A17="",FALSE,IF($B$5="LOTISSEMENT",P_Referentiels!D15,IF($B$5="CONSTRUCTION",P_Referentiels!E15,P_Referentiels!F15))="Oui")</f>
        <v>0</v>
      </c>
      <c r="D17" s="14"/>
      <c r="E17" s="5" t="b">
        <f>IF(A17="",FALSE,P_Referentiels!G15="Oui")</f>
        <v>0</v>
      </c>
      <c r="F17" s="5" t="b">
        <f>IF(A17="",FALSE,P_Referentiels!H15="Oui")</f>
        <v>0</v>
      </c>
      <c r="G17" s="5" t="b">
        <f>AND(C17,D17&lt;&gt;"Oui")</f>
        <v>0</v>
      </c>
    </row>
    <row r="18" spans="1:7">
      <c r="A18" s="5">
        <f>IF(P_Referentiels!A16="","",P_Referentiels!A16)</f>
        <v/>
      </c>
      <c r="B18" s="5">
        <f>IF(A18="","",P_Referentiels!B16)</f>
        <v/>
      </c>
      <c r="C18" s="5" t="b">
        <f>IF(A18="",FALSE,IF($B$5="LOTISSEMENT",P_Referentiels!D16,IF($B$5="CONSTRUCTION",P_Referentiels!E16,P_Referentiels!F16))="Oui")</f>
        <v>0</v>
      </c>
      <c r="D18" s="14"/>
      <c r="E18" s="5" t="b">
        <f>IF(A18="",FALSE,P_Referentiels!G16="Oui")</f>
        <v>0</v>
      </c>
      <c r="F18" s="5" t="b">
        <f>IF(A18="",FALSE,P_Referentiels!H16="Oui")</f>
        <v>0</v>
      </c>
      <c r="G18" s="5" t="b">
        <f>AND(C18,D18&lt;&gt;"Oui")</f>
        <v>0</v>
      </c>
    </row>
    <row r="19" spans="1:7">
      <c r="A19" s="5">
        <f>IF(P_Referentiels!A17="","",P_Referentiels!A17)</f>
        <v/>
      </c>
      <c r="B19" s="5">
        <f>IF(A19="","",P_Referentiels!B17)</f>
        <v/>
      </c>
      <c r="C19" s="5" t="b">
        <f>IF(A19="",FALSE,IF($B$5="LOTISSEMENT",P_Referentiels!D17,IF($B$5="CONSTRUCTION",P_Referentiels!E17,P_Referentiels!F17))="Oui")</f>
        <v>0</v>
      </c>
      <c r="D19" s="14"/>
      <c r="E19" s="5" t="b">
        <f>IF(A19="",FALSE,P_Referentiels!G17="Oui")</f>
        <v>0</v>
      </c>
      <c r="F19" s="5" t="b">
        <f>IF(A19="",FALSE,P_Referentiels!H17="Oui")</f>
        <v>0</v>
      </c>
      <c r="G19" s="5" t="b">
        <f>AND(C19,D19&lt;&gt;"Oui")</f>
        <v>0</v>
      </c>
    </row>
    <row r="20" spans="1:7">
      <c r="A20" s="5">
        <f>IF(P_Referentiels!A18="","",P_Referentiels!A18)</f>
        <v/>
      </c>
      <c r="B20" s="5">
        <f>IF(A20="","",P_Referentiels!B18)</f>
        <v/>
      </c>
      <c r="C20" s="5" t="b">
        <f>IF(A20="",FALSE,IF($B$5="LOTISSEMENT",P_Referentiels!D18,IF($B$5="CONSTRUCTION",P_Referentiels!E18,P_Referentiels!F18))="Oui")</f>
        <v>0</v>
      </c>
      <c r="D20" s="14"/>
      <c r="E20" s="5" t="b">
        <f>IF(A20="",FALSE,P_Referentiels!G18="Oui")</f>
        <v>0</v>
      </c>
      <c r="F20" s="5" t="b">
        <f>IF(A20="",FALSE,P_Referentiels!H18="Oui")</f>
        <v>0</v>
      </c>
      <c r="G20" s="5" t="b">
        <f>AND(C20,D20&lt;&gt;"Oui")</f>
        <v>0</v>
      </c>
    </row>
    <row r="21" spans="1:7">
      <c r="A21" s="5">
        <f>IF(P_Referentiels!A19="","",P_Referentiels!A19)</f>
        <v/>
      </c>
      <c r="B21" s="5">
        <f>IF(A21="","",P_Referentiels!B19)</f>
        <v/>
      </c>
      <c r="C21" s="5" t="b">
        <f>IF(A21="",FALSE,IF($B$5="LOTISSEMENT",P_Referentiels!D19,IF($B$5="CONSTRUCTION",P_Referentiels!E19,P_Referentiels!F19))="Oui")</f>
        <v>0</v>
      </c>
      <c r="D21" s="14"/>
      <c r="E21" s="5" t="b">
        <f>IF(A21="",FALSE,P_Referentiels!G19="Oui")</f>
        <v>0</v>
      </c>
      <c r="F21" s="5" t="b">
        <f>IF(A21="",FALSE,P_Referentiels!H19="Oui")</f>
        <v>0</v>
      </c>
      <c r="G21" s="5" t="b">
        <f>AND(C21,D21&lt;&gt;"Oui")</f>
        <v>0</v>
      </c>
    </row>
    <row r="22" spans="1:7">
      <c r="A22" s="5">
        <f>IF(P_Referentiels!A20="","",P_Referentiels!A20)</f>
        <v/>
      </c>
      <c r="B22" s="5">
        <f>IF(A22="","",P_Referentiels!B20)</f>
        <v/>
      </c>
      <c r="C22" s="5" t="b">
        <f>IF(A22="",FALSE,IF($B$5="LOTISSEMENT",P_Referentiels!D20,IF($B$5="CONSTRUCTION",P_Referentiels!E20,P_Referentiels!F20))="Oui")</f>
        <v>0</v>
      </c>
      <c r="D22" s="14"/>
      <c r="E22" s="5" t="b">
        <f>IF(A22="",FALSE,P_Referentiels!G20="Oui")</f>
        <v>0</v>
      </c>
      <c r="F22" s="5" t="b">
        <f>IF(A22="",FALSE,P_Referentiels!H20="Oui")</f>
        <v>0</v>
      </c>
      <c r="G22" s="5" t="b">
        <f>AND(C22,D22&lt;&gt;"Oui")</f>
        <v>0</v>
      </c>
    </row>
    <row r="23" spans="1:7">
      <c r="A23" s="5">
        <f>IF(P_Referentiels!A21="","",P_Referentiels!A21)</f>
        <v/>
      </c>
      <c r="B23" s="5">
        <f>IF(A23="","",P_Referentiels!B21)</f>
        <v/>
      </c>
      <c r="C23" s="5" t="b">
        <f>IF(A23="",FALSE,IF($B$5="LOTISSEMENT",P_Referentiels!D21,IF($B$5="CONSTRUCTION",P_Referentiels!E21,P_Referentiels!F21))="Oui")</f>
        <v>0</v>
      </c>
      <c r="D23" s="14"/>
      <c r="E23" s="5" t="b">
        <f>IF(A23="",FALSE,P_Referentiels!G21="Oui")</f>
        <v>0</v>
      </c>
      <c r="F23" s="5" t="b">
        <f>IF(A23="",FALSE,P_Referentiels!H21="Oui")</f>
        <v>0</v>
      </c>
      <c r="G23" s="5" t="b">
        <f>AND(C23,D23&lt;&gt;"Oui")</f>
        <v>0</v>
      </c>
    </row>
    <row r="24" spans="1:7">
      <c r="A24" s="5">
        <f>IF(P_Referentiels!A22="","",P_Referentiels!A22)</f>
        <v/>
      </c>
      <c r="B24" s="5">
        <f>IF(A24="","",P_Referentiels!B22)</f>
        <v/>
      </c>
      <c r="C24" s="5" t="b">
        <f>IF(A24="",FALSE,IF($B$5="LOTISSEMENT",P_Referentiels!D22,IF($B$5="CONSTRUCTION",P_Referentiels!E22,P_Referentiels!F22))="Oui")</f>
        <v>0</v>
      </c>
      <c r="D24" s="14"/>
      <c r="E24" s="5" t="b">
        <f>IF(A24="",FALSE,P_Referentiels!G22="Oui")</f>
        <v>0</v>
      </c>
      <c r="F24" s="5" t="b">
        <f>IF(A24="",FALSE,P_Referentiels!H22="Oui")</f>
        <v>0</v>
      </c>
      <c r="G24" s="5" t="b">
        <f>AND(C24,D24&lt;&gt;"Oui")</f>
        <v>0</v>
      </c>
    </row>
    <row r="25" spans="1:7">
      <c r="A25" s="5">
        <f>IF(P_Referentiels!A23="","",P_Referentiels!A23)</f>
        <v/>
      </c>
      <c r="B25" s="5">
        <f>IF(A25="","",P_Referentiels!B23)</f>
        <v/>
      </c>
      <c r="C25" s="5" t="b">
        <f>IF(A25="",FALSE,IF($B$5="LOTISSEMENT",P_Referentiels!D23,IF($B$5="CONSTRUCTION",P_Referentiels!E23,P_Referentiels!F23))="Oui")</f>
        <v>0</v>
      </c>
      <c r="D25" s="14"/>
      <c r="E25" s="5" t="b">
        <f>IF(A25="",FALSE,P_Referentiels!G23="Oui")</f>
        <v>0</v>
      </c>
      <c r="F25" s="5" t="b">
        <f>IF(A25="",FALSE,P_Referentiels!H23="Oui")</f>
        <v>0</v>
      </c>
      <c r="G25" s="5" t="b">
        <f>AND(C25,D25&lt;&gt;"Oui")</f>
        <v>0</v>
      </c>
    </row>
    <row r="26" spans="1:7">
      <c r="A26" s="5">
        <f>IF(P_Referentiels!A24="","",P_Referentiels!A24)</f>
        <v/>
      </c>
      <c r="B26" s="5">
        <f>IF(A26="","",P_Referentiels!B24)</f>
        <v/>
      </c>
      <c r="C26" s="5" t="b">
        <f>IF(A26="",FALSE,IF($B$5="LOTISSEMENT",P_Referentiels!D24,IF($B$5="CONSTRUCTION",P_Referentiels!E24,P_Referentiels!F24))="Oui")</f>
        <v>0</v>
      </c>
      <c r="D26" s="14"/>
      <c r="E26" s="5" t="b">
        <f>IF(A26="",FALSE,P_Referentiels!G24="Oui")</f>
        <v>0</v>
      </c>
      <c r="F26" s="5" t="b">
        <f>IF(A26="",FALSE,P_Referentiels!H24="Oui")</f>
        <v>0</v>
      </c>
      <c r="G26" s="5" t="b">
        <f>AND(C26,D26&lt;&gt;"Oui")</f>
        <v>0</v>
      </c>
    </row>
    <row r="27" spans="1:7">
      <c r="A27" s="5">
        <f>IF(P_Referentiels!A25="","",P_Referentiels!A25)</f>
        <v/>
      </c>
      <c r="B27" s="5">
        <f>IF(A27="","",P_Referentiels!B25)</f>
        <v/>
      </c>
      <c r="C27" s="5" t="b">
        <f>IF(A27="",FALSE,IF($B$5="LOTISSEMENT",P_Referentiels!D25,IF($B$5="CONSTRUCTION",P_Referentiels!E25,P_Referentiels!F25))="Oui")</f>
        <v>0</v>
      </c>
      <c r="D27" s="14"/>
      <c r="E27" s="5" t="b">
        <f>IF(A27="",FALSE,P_Referentiels!G25="Oui")</f>
        <v>0</v>
      </c>
      <c r="F27" s="5" t="b">
        <f>IF(A27="",FALSE,P_Referentiels!H25="Oui")</f>
        <v>0</v>
      </c>
      <c r="G27" s="5" t="b">
        <f>AND(C27,D27&lt;&gt;"Oui")</f>
        <v>0</v>
      </c>
    </row>
    <row r="28" spans="1:7">
      <c r="A28" s="5">
        <f>IF(P_Referentiels!A26="","",P_Referentiels!A26)</f>
        <v/>
      </c>
      <c r="B28" s="5">
        <f>IF(A28="","",P_Referentiels!B26)</f>
        <v/>
      </c>
      <c r="C28" s="5" t="b">
        <f>IF(A28="",FALSE,IF($B$5="LOTISSEMENT",P_Referentiels!D26,IF($B$5="CONSTRUCTION",P_Referentiels!E26,P_Referentiels!F26))="Oui")</f>
        <v>0</v>
      </c>
      <c r="D28" s="14"/>
      <c r="E28" s="5" t="b">
        <f>IF(A28="",FALSE,P_Referentiels!G26="Oui")</f>
        <v>0</v>
      </c>
      <c r="F28" s="5" t="b">
        <f>IF(A28="",FALSE,P_Referentiels!H26="Oui")</f>
        <v>0</v>
      </c>
      <c r="G28" s="5" t="b">
        <f>AND(C28,D28&lt;&gt;"Oui")</f>
        <v>0</v>
      </c>
    </row>
    <row r="29" spans="1:7">
      <c r="A29" s="5">
        <f>IF(P_Referentiels!A27="","",P_Referentiels!A27)</f>
        <v/>
      </c>
      <c r="B29" s="5">
        <f>IF(A29="","",P_Referentiels!B27)</f>
        <v/>
      </c>
      <c r="C29" s="5" t="b">
        <f>IF(A29="",FALSE,IF($B$5="LOTISSEMENT",P_Referentiels!D27,IF($B$5="CONSTRUCTION",P_Referentiels!E27,P_Referentiels!F27))="Oui")</f>
        <v>0</v>
      </c>
      <c r="D29" s="14"/>
      <c r="E29" s="5" t="b">
        <f>IF(A29="",FALSE,P_Referentiels!G27="Oui")</f>
        <v>0</v>
      </c>
      <c r="F29" s="5" t="b">
        <f>IF(A29="",FALSE,P_Referentiels!H27="Oui")</f>
        <v>0</v>
      </c>
      <c r="G29" s="5" t="b">
        <f>AND(C29,D29&lt;&gt;"Oui")</f>
        <v>0</v>
      </c>
    </row>
    <row r="30" spans="1:7">
      <c r="A30" s="5">
        <f>IF(P_Referentiels!A28="","",P_Referentiels!A28)</f>
        <v/>
      </c>
      <c r="B30" s="5">
        <f>IF(A30="","",P_Referentiels!B28)</f>
        <v/>
      </c>
      <c r="C30" s="5" t="b">
        <f>IF(A30="",FALSE,IF($B$5="LOTISSEMENT",P_Referentiels!D28,IF($B$5="CONSTRUCTION",P_Referentiels!E28,P_Referentiels!F28))="Oui")</f>
        <v>0</v>
      </c>
      <c r="D30" s="14"/>
      <c r="E30" s="5" t="b">
        <f>IF(A30="",FALSE,P_Referentiels!G28="Oui")</f>
        <v>0</v>
      </c>
      <c r="F30" s="5" t="b">
        <f>IF(A30="",FALSE,P_Referentiels!H28="Oui")</f>
        <v>0</v>
      </c>
      <c r="G30" s="5" t="b">
        <f>AND(C30,D30&lt;&gt;"Oui")</f>
        <v>0</v>
      </c>
    </row>
    <row r="31" spans="1:7">
      <c r="A31" s="5">
        <f>IF(P_Referentiels!A29="","",P_Referentiels!A29)</f>
        <v/>
      </c>
      <c r="B31" s="5">
        <f>IF(A31="","",P_Referentiels!B29)</f>
        <v/>
      </c>
      <c r="C31" s="5" t="b">
        <f>IF(A31="",FALSE,IF($B$5="LOTISSEMENT",P_Referentiels!D29,IF($B$5="CONSTRUCTION",P_Referentiels!E29,P_Referentiels!F29))="Oui")</f>
        <v>0</v>
      </c>
      <c r="D31" s="14"/>
      <c r="E31" s="5" t="b">
        <f>IF(A31="",FALSE,P_Referentiels!G29="Oui")</f>
        <v>0</v>
      </c>
      <c r="F31" s="5" t="b">
        <f>IF(A31="",FALSE,P_Referentiels!H29="Oui")</f>
        <v>0</v>
      </c>
      <c r="G31" s="5" t="b">
        <f>AND(C31,D31&lt;&gt;"Oui")</f>
        <v>0</v>
      </c>
    </row>
    <row r="33" spans="1:7">
      <c r="A33" s="4" t="s">
        <v>623</v>
      </c>
      <c r="C33" s="34">
        <f>IF(SUMPRODUCT((C8:C31=TRUE)*1)=0,100,ROUND(SUMPRODUCT((C8:C31=TRUE)*(D8:D31="Oui"))/SUMPRODUCT((C8:C31=TRUE)*1)*100,2))</f>
        <v>0.0</v>
      </c>
    </row>
    <row r="34" spans="1:7">
      <c r="A34" s="4" t="s">
        <v>624</v>
      </c>
      <c r="C34" s="5" t="b">
        <f>SUMPRODUCT((G8:G31=TRUE)*(E8:E31=TRUE))&gt;0</f>
        <v>1</v>
      </c>
    </row>
    <row r="35" spans="1:7">
      <c r="A35" s="4" t="s">
        <v>625</v>
      </c>
      <c r="C35" s="5" t="b">
        <f>COUNTIF(D8:D31,"Oui")+COUNTIF(D8:D31,"Non")&gt;0</f>
        <v>0</v>
      </c>
    </row>
    <row r="38" spans="1:7">
      <c r="A38" s="13" t="s">
        <v>626</v>
      </c>
    </row>
    <row r="39" spans="1:7">
      <c r="A39" s="4" t="s">
        <v>627</v>
      </c>
      <c r="C39" s="14"/>
      <c r="D39" s="35" t="s">
        <v>628</v>
      </c>
    </row>
    <row r="41" spans="1:7">
      <c r="A41" s="19" t="s">
        <v>629</v>
      </c>
      <c r="B41" s="19" t="s">
        <v>630</v>
      </c>
      <c r="C41" s="19" t="s">
        <v>631</v>
      </c>
      <c r="D41" s="19" t="s">
        <v>632</v>
      </c>
      <c r="E41" s="19" t="s">
        <v>633</v>
      </c>
      <c r="F41" s="19" t="s">
        <v>634</v>
      </c>
      <c r="G41" s="19" t="s">
        <v>635</v>
      </c>
    </row>
    <row r="42" spans="1:7">
      <c r="A42" s="14"/>
      <c r="B42" s="14"/>
      <c r="C42" s="14"/>
      <c r="D42" s="14"/>
      <c r="E42" s="34">
        <f>IF(B42="",0,IFERROR(VLOOKUP(B42,R_FinTbl,3,FALSE),0.2))</f>
        <v>0.0</v>
      </c>
      <c r="F42" s="5" t="b">
        <f>B42&lt;&gt;""</f>
        <v>0</v>
      </c>
      <c r="G42" s="5" t="b">
        <f>AND(B42&lt;&gt;"",D42&lt;&gt;"Non",E42&lt;=0.4)</f>
        <v>0</v>
      </c>
    </row>
    <row r="43" spans="1:7">
      <c r="A43" s="14"/>
      <c r="B43" s="14"/>
      <c r="C43" s="14"/>
      <c r="D43" s="14"/>
      <c r="E43" s="34">
        <f>IF(B43="",0,IFERROR(VLOOKUP(B43,R_FinTbl,3,FALSE),0.2))</f>
        <v>0.0</v>
      </c>
      <c r="F43" s="5" t="b">
        <f>B43&lt;&gt;""</f>
        <v>0</v>
      </c>
      <c r="G43" s="5" t="b">
        <f>AND(B43&lt;&gt;"",D43&lt;&gt;"Non",E43&lt;=0.4)</f>
        <v>0</v>
      </c>
    </row>
    <row r="44" spans="1:7">
      <c r="A44" s="14"/>
      <c r="B44" s="14"/>
      <c r="C44" s="14"/>
      <c r="D44" s="14"/>
      <c r="E44" s="34">
        <f>IF(B44="",0,IFERROR(VLOOKUP(B44,R_FinTbl,3,FALSE),0.2))</f>
        <v>0.0</v>
      </c>
      <c r="F44" s="5" t="b">
        <f>B44&lt;&gt;""</f>
        <v>0</v>
      </c>
      <c r="G44" s="5" t="b">
        <f>AND(B44&lt;&gt;"",D44&lt;&gt;"Non",E44&lt;=0.4)</f>
        <v>0</v>
      </c>
    </row>
    <row r="45" spans="1:7">
      <c r="A45" s="14"/>
      <c r="B45" s="14"/>
      <c r="C45" s="14"/>
      <c r="D45" s="14"/>
      <c r="E45" s="34">
        <f>IF(B45="",0,IFERROR(VLOOKUP(B45,R_FinTbl,3,FALSE),0.2))</f>
        <v>0.0</v>
      </c>
      <c r="F45" s="5" t="b">
        <f>B45&lt;&gt;""</f>
        <v>0</v>
      </c>
      <c r="G45" s="5" t="b">
        <f>AND(B45&lt;&gt;"",D45&lt;&gt;"Non",E45&lt;=0.4)</f>
        <v>0</v>
      </c>
    </row>
    <row r="46" spans="1:7">
      <c r="A46" s="14"/>
      <c r="B46" s="14"/>
      <c r="C46" s="14"/>
      <c r="D46" s="14"/>
      <c r="E46" s="34">
        <f>IF(B46="",0,IFERROR(VLOOKUP(B46,R_FinTbl,3,FALSE),0.2))</f>
        <v>0.0</v>
      </c>
      <c r="F46" s="5" t="b">
        <f>B46&lt;&gt;""</f>
        <v>0</v>
      </c>
      <c r="G46" s="5" t="b">
        <f>AND(B46&lt;&gt;"",D46&lt;&gt;"Non",E46&lt;=0.4)</f>
        <v>0</v>
      </c>
    </row>
    <row r="47" spans="1:7">
      <c r="A47" s="14"/>
      <c r="B47" s="14"/>
      <c r="C47" s="14"/>
      <c r="D47" s="14"/>
      <c r="E47" s="34">
        <f>IF(B47="",0,IFERROR(VLOOKUP(B47,R_FinTbl,3,FALSE),0.2))</f>
        <v>0.0</v>
      </c>
      <c r="F47" s="5" t="b">
        <f>B47&lt;&gt;""</f>
        <v>0</v>
      </c>
      <c r="G47" s="5" t="b">
        <f>AND(B47&lt;&gt;"",D47&lt;&gt;"Non",E47&lt;=0.4)</f>
        <v>0</v>
      </c>
    </row>
    <row r="48" spans="1:7">
      <c r="A48" s="14"/>
      <c r="B48" s="14"/>
      <c r="C48" s="14"/>
      <c r="D48" s="14"/>
      <c r="E48" s="34">
        <f>IF(B48="",0,IFERROR(VLOOKUP(B48,R_FinTbl,3,FALSE),0.2))</f>
        <v>0.0</v>
      </c>
      <c r="F48" s="5" t="b">
        <f>B48&lt;&gt;""</f>
        <v>0</v>
      </c>
      <c r="G48" s="5" t="b">
        <f>AND(B48&lt;&gt;"",D48&lt;&gt;"Non",E48&lt;=0.4)</f>
        <v>0</v>
      </c>
    </row>
    <row r="49" spans="1:7">
      <c r="A49" s="14"/>
      <c r="B49" s="14"/>
      <c r="C49" s="14"/>
      <c r="D49" s="14"/>
      <c r="E49" s="34">
        <f>IF(B49="",0,IFERROR(VLOOKUP(B49,R_FinTbl,3,FALSE),0.2))</f>
        <v>0.0</v>
      </c>
      <c r="F49" s="5" t="b">
        <f>B49&lt;&gt;""</f>
        <v>0</v>
      </c>
      <c r="G49" s="5" t="b">
        <f>AND(B49&lt;&gt;"",D49&lt;&gt;"Non",E49&lt;=0.4)</f>
        <v>0</v>
      </c>
    </row>
    <row r="50" spans="1:7">
      <c r="A50" s="14"/>
      <c r="B50" s="14"/>
      <c r="C50" s="14"/>
      <c r="D50" s="14"/>
      <c r="E50" s="34">
        <f>IF(B50="",0,IFERROR(VLOOKUP(B50,R_FinTbl,3,FALSE),0.2))</f>
        <v>0.0</v>
      </c>
      <c r="F50" s="5" t="b">
        <f>B50&lt;&gt;""</f>
        <v>0</v>
      </c>
      <c r="G50" s="5" t="b">
        <f>AND(B50&lt;&gt;"",D50&lt;&gt;"Non",E50&lt;=0.4)</f>
        <v>0</v>
      </c>
    </row>
    <row r="51" spans="1:7">
      <c r="A51" s="14"/>
      <c r="B51" s="14"/>
      <c r="C51" s="14"/>
      <c r="D51" s="14"/>
      <c r="E51" s="34">
        <f>IF(B51="",0,IFERROR(VLOOKUP(B51,R_FinTbl,3,FALSE),0.2))</f>
        <v>0.0</v>
      </c>
      <c r="F51" s="5" t="b">
        <f>B51&lt;&gt;""</f>
        <v>0</v>
      </c>
      <c r="G51" s="5" t="b">
        <f>AND(B51&lt;&gt;"",D51&lt;&gt;"Non",E51&lt;=0.4)</f>
        <v>0</v>
      </c>
    </row>
    <row r="52" spans="1:7">
      <c r="A52" s="14"/>
      <c r="B52" s="14"/>
      <c r="C52" s="14"/>
      <c r="D52" s="14"/>
      <c r="E52" s="34">
        <f>IF(B52="",0,IFERROR(VLOOKUP(B52,R_FinTbl,3,FALSE),0.2))</f>
        <v>0.0</v>
      </c>
      <c r="F52" s="5" t="b">
        <f>B52&lt;&gt;""</f>
        <v>0</v>
      </c>
      <c r="G52" s="5" t="b">
        <f>AND(B52&lt;&gt;"",D52&lt;&gt;"Non",E52&lt;=0.4)</f>
        <v>0</v>
      </c>
    </row>
    <row r="53" spans="1:7">
      <c r="A53" s="14"/>
      <c r="B53" s="14"/>
      <c r="C53" s="14"/>
      <c r="D53" s="14"/>
      <c r="E53" s="34">
        <f>IF(B53="",0,IFERROR(VLOOKUP(B53,R_FinTbl,3,FALSE),0.2))</f>
        <v>0.0</v>
      </c>
      <c r="F53" s="5" t="b">
        <f>B53&lt;&gt;""</f>
        <v>0</v>
      </c>
      <c r="G53" s="5" t="b">
        <f>AND(B53&lt;&gt;"",D53&lt;&gt;"Non",E53&lt;=0.4)</f>
        <v>0</v>
      </c>
    </row>
    <row r="54" spans="1:7">
      <c r="A54" s="14"/>
      <c r="B54" s="14"/>
      <c r="C54" s="14"/>
      <c r="D54" s="14"/>
      <c r="E54" s="34">
        <f>IF(B54="",0,IFERROR(VLOOKUP(B54,R_FinTbl,3,FALSE),0.2))</f>
        <v>0.0</v>
      </c>
      <c r="F54" s="5" t="b">
        <f>B54&lt;&gt;""</f>
        <v>0</v>
      </c>
      <c r="G54" s="5" t="b">
        <f>AND(B54&lt;&gt;"",D54&lt;&gt;"Non",E54&lt;=0.4)</f>
        <v>0</v>
      </c>
    </row>
    <row r="55" spans="1:7">
      <c r="A55" s="14"/>
      <c r="B55" s="14"/>
      <c r="C55" s="14"/>
      <c r="D55" s="14"/>
      <c r="E55" s="34">
        <f>IF(B55="",0,IFERROR(VLOOKUP(B55,R_FinTbl,3,FALSE),0.2))</f>
        <v>0.0</v>
      </c>
      <c r="F55" s="5" t="b">
        <f>B55&lt;&gt;""</f>
        <v>0</v>
      </c>
      <c r="G55" s="5" t="b">
        <f>AND(B55&lt;&gt;"",D55&lt;&gt;"Non",E55&lt;=0.4)</f>
        <v>0</v>
      </c>
    </row>
    <row r="56" spans="1:7">
      <c r="A56" s="14"/>
      <c r="B56" s="14"/>
      <c r="C56" s="14"/>
      <c r="D56" s="14"/>
      <c r="E56" s="34">
        <f>IF(B56="",0,IFERROR(VLOOKUP(B56,R_FinTbl,3,FALSE),0.2))</f>
        <v>0.0</v>
      </c>
      <c r="F56" s="5" t="b">
        <f>B56&lt;&gt;""</f>
        <v>0</v>
      </c>
      <c r="G56" s="5" t="b">
        <f>AND(B56&lt;&gt;"",D56&lt;&gt;"Non",E56&lt;=0.4)</f>
        <v>0</v>
      </c>
    </row>
    <row r="57" spans="1:7">
      <c r="A57" s="14"/>
      <c r="B57" s="14"/>
      <c r="C57" s="14"/>
      <c r="D57" s="14"/>
      <c r="E57" s="34">
        <f>IF(B57="",0,IFERROR(VLOOKUP(B57,R_FinTbl,3,FALSE),0.2))</f>
        <v>0.0</v>
      </c>
      <c r="F57" s="5" t="b">
        <f>B57&lt;&gt;""</f>
        <v>0</v>
      </c>
      <c r="G57" s="5" t="b">
        <f>AND(B57&lt;&gt;"",D57&lt;&gt;"Non",E57&lt;=0.4)</f>
        <v>0</v>
      </c>
    </row>
    <row r="58" spans="1:7">
      <c r="A58" s="14"/>
      <c r="B58" s="14"/>
      <c r="C58" s="14"/>
      <c r="D58" s="14"/>
      <c r="E58" s="34">
        <f>IF(B58="",0,IFERROR(VLOOKUP(B58,R_FinTbl,3,FALSE),0.2))</f>
        <v>0.0</v>
      </c>
      <c r="F58" s="5" t="b">
        <f>B58&lt;&gt;""</f>
        <v>0</v>
      </c>
      <c r="G58" s="5" t="b">
        <f>AND(B58&lt;&gt;"",D58&lt;&gt;"Non",E58&lt;=0.4)</f>
        <v>0</v>
      </c>
    </row>
    <row r="59" spans="1:7">
      <c r="A59" s="14"/>
      <c r="B59" s="14"/>
      <c r="C59" s="14"/>
      <c r="D59" s="14"/>
      <c r="E59" s="34">
        <f>IF(B59="",0,IFERROR(VLOOKUP(B59,R_FinTbl,3,FALSE),0.2))</f>
        <v>0.0</v>
      </c>
      <c r="F59" s="5" t="b">
        <f>B59&lt;&gt;""</f>
        <v>0</v>
      </c>
      <c r="G59" s="5" t="b">
        <f>AND(B59&lt;&gt;"",D59&lt;&gt;"Non",E59&lt;=0.4)</f>
        <v>0</v>
      </c>
    </row>
    <row r="60" spans="1:7">
      <c r="A60" s="14"/>
      <c r="B60" s="14"/>
      <c r="C60" s="14"/>
      <c r="D60" s="14"/>
      <c r="E60" s="34">
        <f>IF(B60="",0,IFERROR(VLOOKUP(B60,R_FinTbl,3,FALSE),0.2))</f>
        <v>0.0</v>
      </c>
      <c r="F60" s="5" t="b">
        <f>B60&lt;&gt;""</f>
        <v>0</v>
      </c>
      <c r="G60" s="5" t="b">
        <f>AND(B60&lt;&gt;"",D60&lt;&gt;"Non",E60&lt;=0.4)</f>
        <v>0</v>
      </c>
    </row>
    <row r="61" spans="1:7">
      <c r="A61" s="14"/>
      <c r="B61" s="14"/>
      <c r="C61" s="14"/>
      <c r="D61" s="14"/>
      <c r="E61" s="34">
        <f>IF(B61="",0,IFERROR(VLOOKUP(B61,R_FinTbl,3,FALSE),0.2))</f>
        <v>0.0</v>
      </c>
      <c r="F61" s="5" t="b">
        <f>B61&lt;&gt;""</f>
        <v>0</v>
      </c>
      <c r="G61" s="5" t="b">
        <f>AND(B61&lt;&gt;"",D61&lt;&gt;"Non",E61&lt;=0.4)</f>
        <v>0</v>
      </c>
    </row>
    <row r="62" spans="1:7">
      <c r="A62" s="14"/>
      <c r="B62" s="14"/>
      <c r="C62" s="14"/>
      <c r="D62" s="14"/>
      <c r="E62" s="34">
        <f>IF(B62="",0,IFERROR(VLOOKUP(B62,R_FinTbl,3,FALSE),0.2))</f>
        <v>0.0</v>
      </c>
      <c r="F62" s="5" t="b">
        <f>B62&lt;&gt;""</f>
        <v>0</v>
      </c>
      <c r="G62" s="5" t="b">
        <f>AND(B62&lt;&gt;"",D62&lt;&gt;"Non",E62&lt;=0.4)</f>
        <v>0</v>
      </c>
    </row>
    <row r="63" spans="1:7">
      <c r="A63" s="14"/>
      <c r="B63" s="14"/>
      <c r="C63" s="14"/>
      <c r="D63" s="14"/>
      <c r="E63" s="34">
        <f>IF(B63="",0,IFERROR(VLOOKUP(B63,R_FinTbl,3,FALSE),0.2))</f>
        <v>0.0</v>
      </c>
      <c r="F63" s="5" t="b">
        <f>B63&lt;&gt;""</f>
        <v>0</v>
      </c>
      <c r="G63" s="5" t="b">
        <f>AND(B63&lt;&gt;"",D63&lt;&gt;"Non",E63&lt;=0.4)</f>
        <v>0</v>
      </c>
    </row>
    <row r="64" spans="1:7">
      <c r="A64" s="14"/>
      <c r="B64" s="14"/>
      <c r="C64" s="14"/>
      <c r="D64" s="14"/>
      <c r="E64" s="34">
        <f>IF(B64="",0,IFERROR(VLOOKUP(B64,R_FinTbl,3,FALSE),0.2))</f>
        <v>0.0</v>
      </c>
      <c r="F64" s="5" t="b">
        <f>B64&lt;&gt;""</f>
        <v>0</v>
      </c>
      <c r="G64" s="5" t="b">
        <f>AND(B64&lt;&gt;"",D64&lt;&gt;"Non",E64&lt;=0.4)</f>
        <v>0</v>
      </c>
    </row>
    <row r="65" spans="1:7">
      <c r="A65" s="14"/>
      <c r="B65" s="14"/>
      <c r="C65" s="14"/>
      <c r="D65" s="14"/>
      <c r="E65" s="34">
        <f>IF(B65="",0,IFERROR(VLOOKUP(B65,R_FinTbl,3,FALSE),0.2))</f>
        <v>0.0</v>
      </c>
      <c r="F65" s="5" t="b">
        <f>B65&lt;&gt;""</f>
        <v>0</v>
      </c>
      <c r="G65" s="5" t="b">
        <f>AND(B65&lt;&gt;"",D65&lt;&gt;"Non",E65&lt;=0.4)</f>
        <v>0</v>
      </c>
    </row>
    <row r="66" spans="1:7">
      <c r="A66" s="14"/>
      <c r="B66" s="14"/>
      <c r="C66" s="14"/>
      <c r="D66" s="14"/>
      <c r="E66" s="34">
        <f>IF(B66="",0,IFERROR(VLOOKUP(B66,R_FinTbl,3,FALSE),0.2))</f>
        <v>0.0</v>
      </c>
      <c r="F66" s="5" t="b">
        <f>B66&lt;&gt;""</f>
        <v>0</v>
      </c>
      <c r="G66" s="5" t="b">
        <f>AND(B66&lt;&gt;"",D66&lt;&gt;"Non",E66&lt;=0.4)</f>
        <v>0</v>
      </c>
    </row>
    <row r="67" spans="1:7">
      <c r="A67" s="14"/>
      <c r="B67" s="14"/>
      <c r="C67" s="14"/>
      <c r="D67" s="14"/>
      <c r="E67" s="34">
        <f>IF(B67="",0,IFERROR(VLOOKUP(B67,R_FinTbl,3,FALSE),0.2))</f>
        <v>0.0</v>
      </c>
      <c r="F67" s="5" t="b">
        <f>B67&lt;&gt;""</f>
        <v>0</v>
      </c>
      <c r="G67" s="5" t="b">
        <f>AND(B67&lt;&gt;"",D67&lt;&gt;"Non",E67&lt;=0.4)</f>
        <v>0</v>
      </c>
    </row>
    <row r="68" spans="1:7">
      <c r="A68" s="14"/>
      <c r="B68" s="14"/>
      <c r="C68" s="14"/>
      <c r="D68" s="14"/>
      <c r="E68" s="34">
        <f>IF(B68="",0,IFERROR(VLOOKUP(B68,R_FinTbl,3,FALSE),0.2))</f>
        <v>0.0</v>
      </c>
      <c r="F68" s="5" t="b">
        <f>B68&lt;&gt;""</f>
        <v>0</v>
      </c>
      <c r="G68" s="5" t="b">
        <f>AND(B68&lt;&gt;"",D68&lt;&gt;"Non",E68&lt;=0.4)</f>
        <v>0</v>
      </c>
    </row>
    <row r="69" spans="1:7">
      <c r="A69" s="14"/>
      <c r="B69" s="14"/>
      <c r="C69" s="14"/>
      <c r="D69" s="14"/>
      <c r="E69" s="34">
        <f>IF(B69="",0,IFERROR(VLOOKUP(B69,R_FinTbl,3,FALSE),0.2))</f>
        <v>0.0</v>
      </c>
      <c r="F69" s="5" t="b">
        <f>B69&lt;&gt;""</f>
        <v>0</v>
      </c>
      <c r="G69" s="5" t="b">
        <f>AND(B69&lt;&gt;"",D69&lt;&gt;"Non",E69&lt;=0.4)</f>
        <v>0</v>
      </c>
    </row>
    <row r="70" spans="1:7">
      <c r="A70" s="14"/>
      <c r="B70" s="14"/>
      <c r="C70" s="14"/>
      <c r="D70" s="14"/>
      <c r="E70" s="34">
        <f>IF(B70="",0,IFERROR(VLOOKUP(B70,R_FinTbl,3,FALSE),0.2))</f>
        <v>0.0</v>
      </c>
      <c r="F70" s="5" t="b">
        <f>B70&lt;&gt;""</f>
        <v>0</v>
      </c>
      <c r="G70" s="5" t="b">
        <f>AND(B70&lt;&gt;"",D70&lt;&gt;"Non",E70&lt;=0.4)</f>
        <v>0</v>
      </c>
    </row>
    <row r="71" spans="1:7">
      <c r="A71" s="14"/>
      <c r="B71" s="14"/>
      <c r="C71" s="14"/>
      <c r="D71" s="14"/>
      <c r="E71" s="34">
        <f>IF(B71="",0,IFERROR(VLOOKUP(B71,R_FinTbl,3,FALSE),0.2))</f>
        <v>0.0</v>
      </c>
      <c r="F71" s="5" t="b">
        <f>B71&lt;&gt;""</f>
        <v>0</v>
      </c>
      <c r="G71" s="5" t="b">
        <f>AND(B71&lt;&gt;"",D71&lt;&gt;"Non",E71&lt;=0.4)</f>
        <v>0</v>
      </c>
    </row>
    <row r="72" spans="1:7">
      <c r="A72" s="14"/>
      <c r="B72" s="14"/>
      <c r="C72" s="14"/>
      <c r="D72" s="14"/>
      <c r="E72" s="34">
        <f>IF(B72="",0,IFERROR(VLOOKUP(B72,R_FinTbl,3,FALSE),0.2))</f>
        <v>0.0</v>
      </c>
      <c r="F72" s="5" t="b">
        <f>B72&lt;&gt;""</f>
        <v>0</v>
      </c>
      <c r="G72" s="5" t="b">
        <f>AND(B72&lt;&gt;"",D72&lt;&gt;"Non",E72&lt;=0.4)</f>
        <v>0</v>
      </c>
    </row>
    <row r="73" spans="1:7">
      <c r="A73" s="14"/>
      <c r="B73" s="14"/>
      <c r="C73" s="14"/>
      <c r="D73" s="14"/>
      <c r="E73" s="34">
        <f>IF(B73="",0,IFERROR(VLOOKUP(B73,R_FinTbl,3,FALSE),0.2))</f>
        <v>0.0</v>
      </c>
      <c r="F73" s="5" t="b">
        <f>B73&lt;&gt;""</f>
        <v>0</v>
      </c>
      <c r="G73" s="5" t="b">
        <f>AND(B73&lt;&gt;"",D73&lt;&gt;"Non",E73&lt;=0.4)</f>
        <v>0</v>
      </c>
    </row>
    <row r="74" spans="1:7">
      <c r="A74" s="14"/>
      <c r="B74" s="14"/>
      <c r="C74" s="14"/>
      <c r="D74" s="14"/>
      <c r="E74" s="34">
        <f>IF(B74="",0,IFERROR(VLOOKUP(B74,R_FinTbl,3,FALSE),0.2))</f>
        <v>0.0</v>
      </c>
      <c r="F74" s="5" t="b">
        <f>B74&lt;&gt;""</f>
        <v>0</v>
      </c>
      <c r="G74" s="5" t="b">
        <f>AND(B74&lt;&gt;"",D74&lt;&gt;"Non",E74&lt;=0.4)</f>
        <v>0</v>
      </c>
    </row>
    <row r="75" spans="1:7">
      <c r="A75" s="14"/>
      <c r="B75" s="14"/>
      <c r="C75" s="14"/>
      <c r="D75" s="14"/>
      <c r="E75" s="34">
        <f>IF(B75="",0,IFERROR(VLOOKUP(B75,R_FinTbl,3,FALSE),0.2))</f>
        <v>0.0</v>
      </c>
      <c r="F75" s="5" t="b">
        <f>B75&lt;&gt;""</f>
        <v>0</v>
      </c>
      <c r="G75" s="5" t="b">
        <f>AND(B75&lt;&gt;"",D75&lt;&gt;"Non",E75&lt;=0.4)</f>
        <v>0</v>
      </c>
    </row>
    <row r="76" spans="1:7">
      <c r="A76" s="14"/>
      <c r="B76" s="14"/>
      <c r="C76" s="14"/>
      <c r="D76" s="14"/>
      <c r="E76" s="34">
        <f>IF(B76="",0,IFERROR(VLOOKUP(B76,R_FinTbl,3,FALSE),0.2))</f>
        <v>0.0</v>
      </c>
      <c r="F76" s="5" t="b">
        <f>B76&lt;&gt;""</f>
        <v>0</v>
      </c>
      <c r="G76" s="5" t="b">
        <f>AND(B76&lt;&gt;"",D76&lt;&gt;"Non",E76&lt;=0.4)</f>
        <v>0</v>
      </c>
    </row>
    <row r="77" spans="1:7">
      <c r="A77" s="14"/>
      <c r="B77" s="14"/>
      <c r="C77" s="14"/>
      <c r="D77" s="14"/>
      <c r="E77" s="34">
        <f>IF(B77="",0,IFERROR(VLOOKUP(B77,R_FinTbl,3,FALSE),0.2))</f>
        <v>0.0</v>
      </c>
      <c r="F77" s="5" t="b">
        <f>B77&lt;&gt;""</f>
        <v>0</v>
      </c>
      <c r="G77" s="5" t="b">
        <f>AND(B77&lt;&gt;"",D77&lt;&gt;"Non",E77&lt;=0.4)</f>
        <v>0</v>
      </c>
    </row>
    <row r="78" spans="1:7">
      <c r="A78" s="14"/>
      <c r="B78" s="14"/>
      <c r="C78" s="14"/>
      <c r="D78" s="14"/>
      <c r="E78" s="34">
        <f>IF(B78="",0,IFERROR(VLOOKUP(B78,R_FinTbl,3,FALSE),0.2))</f>
        <v>0.0</v>
      </c>
      <c r="F78" s="5" t="b">
        <f>B78&lt;&gt;""</f>
        <v>0</v>
      </c>
      <c r="G78" s="5" t="b">
        <f>AND(B78&lt;&gt;"",D78&lt;&gt;"Non",E78&lt;=0.4)</f>
        <v>0</v>
      </c>
    </row>
    <row r="79" spans="1:7">
      <c r="A79" s="14"/>
      <c r="B79" s="14"/>
      <c r="C79" s="14"/>
      <c r="D79" s="14"/>
      <c r="E79" s="34">
        <f>IF(B79="",0,IFERROR(VLOOKUP(B79,R_FinTbl,3,FALSE),0.2))</f>
        <v>0.0</v>
      </c>
      <c r="F79" s="5" t="b">
        <f>B79&lt;&gt;""</f>
        <v>0</v>
      </c>
      <c r="G79" s="5" t="b">
        <f>AND(B79&lt;&gt;"",D79&lt;&gt;"Non",E79&lt;=0.4)</f>
        <v>0</v>
      </c>
    </row>
    <row r="80" spans="1:7">
      <c r="A80" s="14"/>
      <c r="B80" s="14"/>
      <c r="C80" s="14"/>
      <c r="D80" s="14"/>
      <c r="E80" s="34">
        <f>IF(B80="",0,IFERROR(VLOOKUP(B80,R_FinTbl,3,FALSE),0.2))</f>
        <v>0.0</v>
      </c>
      <c r="F80" s="5" t="b">
        <f>B80&lt;&gt;""</f>
        <v>0</v>
      </c>
      <c r="G80" s="5" t="b">
        <f>AND(B80&lt;&gt;"",D80&lt;&gt;"Non",E80&lt;=0.4)</f>
        <v>0</v>
      </c>
    </row>
    <row r="81" spans="1:7">
      <c r="A81" s="14"/>
      <c r="B81" s="14"/>
      <c r="C81" s="14"/>
      <c r="D81" s="14"/>
      <c r="E81" s="34">
        <f>IF(B81="",0,IFERROR(VLOOKUP(B81,R_FinTbl,3,FALSE),0.2))</f>
        <v>0.0</v>
      </c>
      <c r="F81" s="5" t="b">
        <f>B81&lt;&gt;""</f>
        <v>0</v>
      </c>
      <c r="G81" s="5" t="b">
        <f>AND(B81&lt;&gt;"",D81&lt;&gt;"Non",E81&lt;=0.4)</f>
        <v>0</v>
      </c>
    </row>
    <row r="83" spans="1:7">
      <c r="A83" s="4" t="s">
        <v>636</v>
      </c>
      <c r="C83" s="36">
        <f>SUMPRODUCT((F42:F81=TRUE)*(D42:D81&lt;&gt;"Non")*C42:C81)</f>
        <v>0.0</v>
      </c>
    </row>
    <row r="84" spans="1:7">
      <c r="A84" s="4" t="s">
        <v>637</v>
      </c>
      <c r="C84" s="36">
        <f>SUMPRODUCT((F42:F81=TRUE)*(D42:D81&lt;&gt;"Non")*C42:C81*E42:E81)</f>
        <v>0.0</v>
      </c>
    </row>
    <row r="85" spans="1:7">
      <c r="A85" s="4" t="s">
        <v>638</v>
      </c>
      <c r="C85" s="34">
        <f>IF(SUMPRODUCT((F42:F81=TRUE)*1)=0,"",IF(IF(C39="",SUM(C42:C81),C39)&gt;0,ROUND(C84/IF(C39="",SUM(C42:C81),C39)*100,2),""))</f>
        <v/>
      </c>
    </row>
    <row r="86" spans="1:7">
      <c r="A86" s="4" t="s">
        <v>639</v>
      </c>
      <c r="C86" s="5">
        <f>IF(SUMPRODUCT((F42:F81=TRUE)*1)=0,"",AND(C83&gt;0,SUMPRODUCT((G42:G81=TRUE)*1)/SUMPRODUCT((F42:F81=TRUE)*1)&gt;=0.4))</f>
        <v/>
      </c>
    </row>
    <row r="89" spans="1:7">
      <c r="A89" s="13" t="s">
        <v>640</v>
      </c>
    </row>
    <row r="90" spans="1:7">
      <c r="A90" s="4" t="s">
        <v>641</v>
      </c>
      <c r="C90" s="14"/>
    </row>
    <row r="91" spans="1:7">
      <c r="A91" s="4" t="s">
        <v>642</v>
      </c>
      <c r="C91" s="14"/>
    </row>
    <row r="92" spans="1:7">
      <c r="A92" s="4" t="s">
        <v>627</v>
      </c>
      <c r="C92" s="14"/>
    </row>
    <row r="93" spans="1:7">
      <c r="A93" s="4" t="s">
        <v>643</v>
      </c>
      <c r="C93" s="34">
        <f>IF(AND(ISNUMBER(C91),ISNUMBER(C92)),IF(C92&gt;0,ROUND(C91/C92*100,2),""),"")</f>
        <v/>
      </c>
    </row>
    <row r="94" spans="1:7">
      <c r="A94" s="4" t="s">
        <v>644</v>
      </c>
      <c r="C94" s="34">
        <f>IF(AND(ISNUMBER(C90),ISNUMBER(C91),ISNUMBER(C92)),IF(AND(C91&gt;0,C92&gt;0),ROUND(C90-C91/C92*100,2),""),"")</f>
        <v/>
      </c>
    </row>
    <row r="95" spans="1:7">
      <c r="A95" s="4" t="s">
        <v>645</v>
      </c>
      <c r="C95" s="5">
        <f>IF(C94="","",C94&lt;0)</f>
        <v/>
      </c>
    </row>
    <row r="96" spans="1:7">
      <c r="A96" s="4" t="s">
        <v>646</v>
      </c>
      <c r="C96" s="34">
        <f>IF(C93="","",ROUND(MIN(100,C93*1.1),2))</f>
        <v/>
      </c>
    </row>
    <row r="99" spans="1:6">
      <c r="A99" s="13" t="s">
        <v>647</v>
      </c>
    </row>
    <row r="100" spans="1:6">
      <c r="A100" s="4" t="s">
        <v>648</v>
      </c>
      <c r="C100" s="14"/>
    </row>
    <row r="101" spans="1:6">
      <c r="A101" s="4" t="s">
        <v>649</v>
      </c>
      <c r="C101" s="37">
        <v>20</v>
      </c>
    </row>
    <row r="102" spans="1:6">
      <c r="A102" s="4" t="s">
        <v>650</v>
      </c>
      <c r="C102" s="37">
        <v>5</v>
      </c>
    </row>
    <row r="104" spans="1:6">
      <c r="A104" s="19" t="s">
        <v>651</v>
      </c>
      <c r="B104" s="19"/>
      <c r="C104" s="19" t="s">
        <v>652</v>
      </c>
      <c r="D104" s="19" t="s">
        <v>653</v>
      </c>
      <c r="E104" s="19" t="s">
        <v>654</v>
      </c>
      <c r="F104" s="19" t="s">
        <v>655</v>
      </c>
    </row>
    <row r="105" spans="1:6">
      <c r="A105" s="14"/>
      <c r="B105" s="38"/>
      <c r="C105" s="14"/>
      <c r="D105" s="14"/>
      <c r="E105" s="14"/>
      <c r="F105" s="36">
        <f>MAX(0,N(C105))+MAX(0,N(D105))*IF(E105="",1,MIN(1,MAX(0,E105)))</f>
        <v>0.0</v>
      </c>
    </row>
    <row r="106" spans="1:6">
      <c r="A106" s="14"/>
      <c r="B106" s="38"/>
      <c r="C106" s="14"/>
      <c r="D106" s="14"/>
      <c r="E106" s="14"/>
      <c r="F106" s="36">
        <f>MAX(0,N(C106))+MAX(0,N(D106))*IF(E106="",1,MIN(1,MAX(0,E106)))</f>
        <v>0.0</v>
      </c>
    </row>
    <row r="107" spans="1:6">
      <c r="A107" s="14"/>
      <c r="B107" s="38"/>
      <c r="C107" s="14"/>
      <c r="D107" s="14"/>
      <c r="E107" s="14"/>
      <c r="F107" s="36">
        <f>MAX(0,N(C107))+MAX(0,N(D107))*IF(E107="",1,MIN(1,MAX(0,E107)))</f>
        <v>0.0</v>
      </c>
    </row>
    <row r="108" spans="1:6">
      <c r="A108" s="14"/>
      <c r="B108" s="38"/>
      <c r="C108" s="14"/>
      <c r="D108" s="14"/>
      <c r="E108" s="14"/>
      <c r="F108" s="36">
        <f>MAX(0,N(C108))+MAX(0,N(D108))*IF(E108="",1,MIN(1,MAX(0,E108)))</f>
        <v>0.0</v>
      </c>
    </row>
    <row r="109" spans="1:6">
      <c r="A109" s="14"/>
      <c r="B109" s="38"/>
      <c r="C109" s="14"/>
      <c r="D109" s="14"/>
      <c r="E109" s="14"/>
      <c r="F109" s="36">
        <f>MAX(0,N(C109))+MAX(0,N(D109))*IF(E109="",1,MIN(1,MAX(0,E109)))</f>
        <v>0.0</v>
      </c>
    </row>
    <row r="110" spans="1:6">
      <c r="A110" s="14"/>
      <c r="B110" s="38"/>
      <c r="C110" s="14"/>
      <c r="D110" s="14"/>
      <c r="E110" s="14"/>
      <c r="F110" s="36">
        <f>MAX(0,N(C110))+MAX(0,N(D110))*IF(E110="",1,MIN(1,MAX(0,E110)))</f>
        <v>0.0</v>
      </c>
    </row>
    <row r="111" spans="1:6">
      <c r="A111" s="14"/>
      <c r="B111" s="38"/>
      <c r="C111" s="14"/>
      <c r="D111" s="14"/>
      <c r="E111" s="14"/>
      <c r="F111" s="36">
        <f>MAX(0,N(C111))+MAX(0,N(D111))*IF(E111="",1,MIN(1,MAX(0,E111)))</f>
        <v>0.0</v>
      </c>
    </row>
    <row r="112" spans="1:6">
      <c r="A112" s="14"/>
      <c r="B112" s="38"/>
      <c r="C112" s="14"/>
      <c r="D112" s="14"/>
      <c r="E112" s="14"/>
      <c r="F112" s="36">
        <f>MAX(0,N(C112))+MAX(0,N(D112))*IF(E112="",1,MIN(1,MAX(0,E112)))</f>
        <v>0.0</v>
      </c>
    </row>
    <row r="113" spans="1:6">
      <c r="A113" s="14"/>
      <c r="B113" s="38"/>
      <c r="C113" s="14"/>
      <c r="D113" s="14"/>
      <c r="E113" s="14"/>
      <c r="F113" s="36">
        <f>MAX(0,N(C113))+MAX(0,N(D113))*IF(E113="",1,MIN(1,MAX(0,E113)))</f>
        <v>0.0</v>
      </c>
    </row>
    <row r="114" spans="1:6">
      <c r="A114" s="14"/>
      <c r="B114" s="38"/>
      <c r="C114" s="14"/>
      <c r="D114" s="14"/>
      <c r="E114" s="14"/>
      <c r="F114" s="36">
        <f>MAX(0,N(C114))+MAX(0,N(D114))*IF(E114="",1,MIN(1,MAX(0,E114)))</f>
        <v>0.0</v>
      </c>
    </row>
    <row r="116" spans="1:6">
      <c r="A116" s="4" t="s">
        <v>656</v>
      </c>
      <c r="C116" s="36">
        <f>SUM(F105:F114)</f>
        <v>0.0</v>
      </c>
    </row>
    <row r="117" spans="1:6">
      <c r="A117" s="4" t="s">
        <v>657</v>
      </c>
      <c r="C117" s="36">
        <f>IF(ISNUMBER(C100),ROUND(C100*C101/100,2),"")</f>
        <v/>
      </c>
    </row>
    <row r="118" spans="1:6">
      <c r="A118" s="4" t="s">
        <v>658</v>
      </c>
      <c r="C118" s="34">
        <f>IF(AND(ISNUMBER(C100),N(C100)&gt;0),ROUND(C116/C100*100,2),"")</f>
        <v/>
      </c>
    </row>
    <row r="119" spans="1:6">
      <c r="A119" s="4" t="s">
        <v>659</v>
      </c>
      <c r="C119" s="36">
        <f>IF(C117="","",MAX(0,C117-C116))</f>
        <v/>
      </c>
    </row>
    <row r="120" spans="1:6">
      <c r="A120" s="4" t="s">
        <v>660</v>
      </c>
      <c r="C120" s="5">
        <f>IF(AND(ISNUMBER(C100),N(C100)&gt;0),C116&gt;C117,"")</f>
        <v/>
      </c>
    </row>
    <row r="121" spans="1:6">
      <c r="A121" s="4" t="s">
        <v>661</v>
      </c>
      <c r="C121" s="5">
        <f>IF(AND(ISNUMBER(C100),N(C100)&gt;0),C116&gt;=C100*C102/100,"")</f>
        <v/>
      </c>
    </row>
    <row r="124" spans="1:6">
      <c r="A124" s="13" t="s">
        <v>662</v>
      </c>
    </row>
    <row r="125" spans="1:6">
      <c r="A125" s="4" t="s">
        <v>663</v>
      </c>
      <c r="C125" s="39"/>
    </row>
    <row r="126" spans="1:6">
      <c r="A126" s="4" t="s">
        <v>664</v>
      </c>
      <c r="C126" s="39"/>
    </row>
    <row r="127" spans="1:6">
      <c r="A127" s="4" t="s">
        <v>665</v>
      </c>
      <c r="C127" s="39"/>
    </row>
    <row r="128" spans="1:6">
      <c r="A128" s="4" t="s">
        <v>666</v>
      </c>
      <c r="C128" s="34">
        <f>IF(OR(NOT(ISNUMBER(C125)),ISNUMBER(C126)),"",MAX(0,INT((IF(ISNUMBER(C127),C127,TODAY())-C125)/30.4375)))</f>
        <v/>
      </c>
      <c r="D128" s="35" t="s">
        <v>667</v>
      </c>
    </row>
    <row r="131" spans="1:6">
      <c r="A131" s="13" t="s">
        <v>668</v>
      </c>
    </row>
    <row r="132" spans="1:6">
      <c r="A132" s="4" t="s">
        <v>669</v>
      </c>
      <c r="C132" s="14"/>
    </row>
    <row r="133" spans="1:6">
      <c r="A133" s="4" t="s">
        <v>670</v>
      </c>
      <c r="C133" s="14"/>
    </row>
    <row r="134" spans="1:6">
      <c r="A134" s="4" t="s">
        <v>671</v>
      </c>
      <c r="C134" s="14"/>
    </row>
    <row r="135" spans="1:6">
      <c r="A135" s="4" t="s">
        <v>672</v>
      </c>
      <c r="C135" s="34">
        <f>IF(AND(ISNUMBER(C132),ISNUMBER(C133),ISNUMBER(C134)),IF(N(C132)&lt;=0,"",IF(C133&lt;=0,0,IF(C132*C134/100&lt;=0,999,MIN(999,ROUND(C133/(C132*C134/100)*100,2))))),"")</f>
        <v/>
      </c>
    </row>
    <row r="136" spans="1:6">
      <c r="A136" s="4" t="s">
        <v>673</v>
      </c>
      <c r="C136" s="5">
        <f>IF(C135="","",C135&gt;=115)</f>
        <v/>
      </c>
    </row>
    <row r="138" spans="1:6">
      <c r="A138" s="4" t="s">
        <v>674</v>
      </c>
      <c r="C138" s="39"/>
    </row>
    <row r="139" spans="1:6">
      <c r="A139" s="19" t="s">
        <v>675</v>
      </c>
      <c r="B139" s="19" t="s">
        <v>676</v>
      </c>
      <c r="C139" s="19" t="s">
        <v>677</v>
      </c>
      <c r="D139" s="19" t="s">
        <v>678</v>
      </c>
      <c r="E139" s="19" t="s">
        <v>679</v>
      </c>
      <c r="F139" s="19" t="s">
        <v>680</v>
      </c>
    </row>
    <row r="140" spans="1:6">
      <c r="A140" s="14"/>
      <c r="B140" s="39"/>
      <c r="C140" s="14"/>
      <c r="D140" s="14"/>
      <c r="E140" s="36">
        <f>IF(AND(ISNUMBER(B140),B140&lt;=IF(ISNUMBER($C$138),$C$138,TODAY())),N(C140),0)</f>
        <v>0.0</v>
      </c>
      <c r="F140" s="36">
        <f>IF(AND(ISNUMBER(B140),B140&lt;=IF(ISNUMBER($C$138),$C$138,TODAY())),MIN(N(D140),N(C140)),0)</f>
        <v>0.0</v>
      </c>
    </row>
    <row r="141" spans="1:6">
      <c r="A141" s="14"/>
      <c r="B141" s="39"/>
      <c r="C141" s="14"/>
      <c r="D141" s="14"/>
      <c r="E141" s="36">
        <f>IF(AND(ISNUMBER(B141),B141&lt;=IF(ISNUMBER($C$138),$C$138,TODAY())),N(C141),0)</f>
        <v>0.0</v>
      </c>
      <c r="F141" s="36">
        <f>IF(AND(ISNUMBER(B141),B141&lt;=IF(ISNUMBER($C$138),$C$138,TODAY())),MIN(N(D141),N(C141)),0)</f>
        <v>0.0</v>
      </c>
    </row>
    <row r="142" spans="1:6">
      <c r="A142" s="14"/>
      <c r="B142" s="39"/>
      <c r="C142" s="14"/>
      <c r="D142" s="14"/>
      <c r="E142" s="36">
        <f>IF(AND(ISNUMBER(B142),B142&lt;=IF(ISNUMBER($C$138),$C$138,TODAY())),N(C142),0)</f>
        <v>0.0</v>
      </c>
      <c r="F142" s="36">
        <f>IF(AND(ISNUMBER(B142),B142&lt;=IF(ISNUMBER($C$138),$C$138,TODAY())),MIN(N(D142),N(C142)),0)</f>
        <v>0.0</v>
      </c>
    </row>
    <row r="143" spans="1:6">
      <c r="A143" s="14"/>
      <c r="B143" s="39"/>
      <c r="C143" s="14"/>
      <c r="D143" s="14"/>
      <c r="E143" s="36">
        <f>IF(AND(ISNUMBER(B143),B143&lt;=IF(ISNUMBER($C$138),$C$138,TODAY())),N(C143),0)</f>
        <v>0.0</v>
      </c>
      <c r="F143" s="36">
        <f>IF(AND(ISNUMBER(B143),B143&lt;=IF(ISNUMBER($C$138),$C$138,TODAY())),MIN(N(D143),N(C143)),0)</f>
        <v>0.0</v>
      </c>
    </row>
    <row r="144" spans="1:6">
      <c r="A144" s="14"/>
      <c r="B144" s="39"/>
      <c r="C144" s="14"/>
      <c r="D144" s="14"/>
      <c r="E144" s="36">
        <f>IF(AND(ISNUMBER(B144),B144&lt;=IF(ISNUMBER($C$138),$C$138,TODAY())),N(C144),0)</f>
        <v>0.0</v>
      </c>
      <c r="F144" s="36">
        <f>IF(AND(ISNUMBER(B144),B144&lt;=IF(ISNUMBER($C$138),$C$138,TODAY())),MIN(N(D144),N(C144)),0)</f>
        <v>0.0</v>
      </c>
    </row>
    <row r="145" spans="1:6">
      <c r="A145" s="14"/>
      <c r="B145" s="39"/>
      <c r="C145" s="14"/>
      <c r="D145" s="14"/>
      <c r="E145" s="36">
        <f>IF(AND(ISNUMBER(B145),B145&lt;=IF(ISNUMBER($C$138),$C$138,TODAY())),N(C145),0)</f>
        <v>0.0</v>
      </c>
      <c r="F145" s="36">
        <f>IF(AND(ISNUMBER(B145),B145&lt;=IF(ISNUMBER($C$138),$C$138,TODAY())),MIN(N(D145),N(C145)),0)</f>
        <v>0.0</v>
      </c>
    </row>
    <row r="146" spans="1:6">
      <c r="A146" s="14"/>
      <c r="B146" s="39"/>
      <c r="C146" s="14"/>
      <c r="D146" s="14"/>
      <c r="E146" s="36">
        <f>IF(AND(ISNUMBER(B146),B146&lt;=IF(ISNUMBER($C$138),$C$138,TODAY())),N(C146),0)</f>
        <v>0.0</v>
      </c>
      <c r="F146" s="36">
        <f>IF(AND(ISNUMBER(B146),B146&lt;=IF(ISNUMBER($C$138),$C$138,TODAY())),MIN(N(D146),N(C146)),0)</f>
        <v>0.0</v>
      </c>
    </row>
    <row r="147" spans="1:6">
      <c r="A147" s="14"/>
      <c r="B147" s="39"/>
      <c r="C147" s="14"/>
      <c r="D147" s="14"/>
      <c r="E147" s="36">
        <f>IF(AND(ISNUMBER(B147),B147&lt;=IF(ISNUMBER($C$138),$C$138,TODAY())),N(C147),0)</f>
        <v>0.0</v>
      </c>
      <c r="F147" s="36">
        <f>IF(AND(ISNUMBER(B147),B147&lt;=IF(ISNUMBER($C$138),$C$138,TODAY())),MIN(N(D147),N(C147)),0)</f>
        <v>0.0</v>
      </c>
    </row>
    <row r="148" spans="1:6">
      <c r="A148" s="14"/>
      <c r="B148" s="39"/>
      <c r="C148" s="14"/>
      <c r="D148" s="14"/>
      <c r="E148" s="36">
        <f>IF(AND(ISNUMBER(B148),B148&lt;=IF(ISNUMBER($C$138),$C$138,TODAY())),N(C148),0)</f>
        <v>0.0</v>
      </c>
      <c r="F148" s="36">
        <f>IF(AND(ISNUMBER(B148),B148&lt;=IF(ISNUMBER($C$138),$C$138,TODAY())),MIN(N(D148),N(C148)),0)</f>
        <v>0.0</v>
      </c>
    </row>
    <row r="149" spans="1:6">
      <c r="A149" s="14"/>
      <c r="B149" s="39"/>
      <c r="C149" s="14"/>
      <c r="D149" s="14"/>
      <c r="E149" s="36">
        <f>IF(AND(ISNUMBER(B149),B149&lt;=IF(ISNUMBER($C$138),$C$138,TODAY())),N(C149),0)</f>
        <v>0.0</v>
      </c>
      <c r="F149" s="36">
        <f>IF(AND(ISNUMBER(B149),B149&lt;=IF(ISNUMBER($C$138),$C$138,TODAY())),MIN(N(D149),N(C149)),0)</f>
        <v>0.0</v>
      </c>
    </row>
    <row r="150" spans="1:6">
      <c r="A150" s="14"/>
      <c r="B150" s="39"/>
      <c r="C150" s="14"/>
      <c r="D150" s="14"/>
      <c r="E150" s="36">
        <f>IF(AND(ISNUMBER(B150),B150&lt;=IF(ISNUMBER($C$138),$C$138,TODAY())),N(C150),0)</f>
        <v>0.0</v>
      </c>
      <c r="F150" s="36">
        <f>IF(AND(ISNUMBER(B150),B150&lt;=IF(ISNUMBER($C$138),$C$138,TODAY())),MIN(N(D150),N(C150)),0)</f>
        <v>0.0</v>
      </c>
    </row>
    <row r="151" spans="1:6">
      <c r="A151" s="14"/>
      <c r="B151" s="39"/>
      <c r="C151" s="14"/>
      <c r="D151" s="14"/>
      <c r="E151" s="36">
        <f>IF(AND(ISNUMBER(B151),B151&lt;=IF(ISNUMBER($C$138),$C$138,TODAY())),N(C151),0)</f>
        <v>0.0</v>
      </c>
      <c r="F151" s="36">
        <f>IF(AND(ISNUMBER(B151),B151&lt;=IF(ISNUMBER($C$138),$C$138,TODAY())),MIN(N(D151),N(C151)),0)</f>
        <v>0.0</v>
      </c>
    </row>
    <row r="153" spans="1:6">
      <c r="A153" s="4" t="s">
        <v>681</v>
      </c>
      <c r="C153" s="34">
        <f>IF(SUM(E140:E151)&lt;=0,"",ROUND((SUM(E140:E151)-SUM(F140:F151))/SUM(E140:E151)*100,2))</f>
        <v/>
      </c>
    </row>
    <row r="154" spans="1:6">
      <c r="A154" s="4" t="s">
        <v>682</v>
      </c>
      <c r="C154" s="5">
        <f>IF(C153="","",C153&gt;=25)</f>
        <v/>
      </c>
    </row>
    <row r="157" spans="1:6">
      <c r="A157" s="13" t="s">
        <v>683</v>
      </c>
    </row>
    <row r="158" spans="1:6">
      <c r="A158" s="4" t="s">
        <v>684</v>
      </c>
      <c r="C158" s="14"/>
      <c r="D158" s="35" t="s">
        <v>685</v>
      </c>
    </row>
    <row r="159" spans="1:6">
      <c r="A159" s="4" t="s">
        <v>686</v>
      </c>
      <c r="C159" s="14"/>
    </row>
    <row r="160" spans="1:6">
      <c r="A160" s="4" t="s">
        <v>687</v>
      </c>
      <c r="C160" s="14"/>
    </row>
    <row r="161" spans="1:11">
      <c r="A161" s="4" t="s">
        <v>665</v>
      </c>
      <c r="C161" s="39"/>
    </row>
    <row r="163" spans="1:11">
      <c r="A163" s="19" t="s">
        <v>688</v>
      </c>
      <c r="B163" s="19" t="s">
        <v>689</v>
      </c>
      <c r="C163" s="19" t="s">
        <v>690</v>
      </c>
      <c r="D163" s="19" t="s">
        <v>691</v>
      </c>
      <c r="E163" s="19" t="s">
        <v>692</v>
      </c>
      <c r="F163" s="19" t="s">
        <v>693</v>
      </c>
      <c r="G163" s="19" t="s">
        <v>694</v>
      </c>
      <c r="H163" s="19" t="s">
        <v>695</v>
      </c>
      <c r="I163" s="19" t="s">
        <v>696</v>
      </c>
      <c r="J163" s="19" t="s">
        <v>697</v>
      </c>
      <c r="K163" s="19" t="s">
        <v>698</v>
      </c>
    </row>
    <row r="164" spans="1:11">
      <c r="A164" s="14"/>
      <c r="B164" s="14"/>
      <c r="C164" s="14"/>
      <c r="D164" s="14"/>
      <c r="E164" s="14"/>
      <c r="F164" s="39"/>
      <c r="G164" s="14"/>
      <c r="H164" s="14"/>
      <c r="I164" s="36">
        <f>IF(AND(A164&lt;&gt;"",C164&lt;&gt;"commune",D164&lt;&gt;"Oui"),MAX(0,N(B164)),0)</f>
        <v>0.0</v>
      </c>
      <c r="J164" s="5" t="b">
        <f>AND(A164&lt;&gt;"",C164&lt;&gt;"commune",D164&lt;&gt;"Oui",NOT(ISNUMBER(B164)))</f>
        <v>0</v>
      </c>
      <c r="K164" s="5" t="b">
        <f>AND(A164&lt;&gt;"",E164="Oui",H164&lt;&gt;"Oui",OR(AND(ISNUMBER(F164),F164&lt;IF(ISNUMBER($C$161),$C$161,TODAY()),N(G164)&lt;100),AND(ISNUMBER($C$160),$C$160-N(G164)&gt;30)))</f>
        <v>0</v>
      </c>
    </row>
    <row r="165" spans="1:11">
      <c r="A165" s="14"/>
      <c r="B165" s="14"/>
      <c r="C165" s="14"/>
      <c r="D165" s="14"/>
      <c r="E165" s="14"/>
      <c r="F165" s="39"/>
      <c r="G165" s="14"/>
      <c r="H165" s="14"/>
      <c r="I165" s="36">
        <f>IF(AND(A165&lt;&gt;"",C165&lt;&gt;"commune",D165&lt;&gt;"Oui"),MAX(0,N(B165)),0)</f>
        <v>0.0</v>
      </c>
      <c r="J165" s="5" t="b">
        <f>AND(A165&lt;&gt;"",C165&lt;&gt;"commune",D165&lt;&gt;"Oui",NOT(ISNUMBER(B165)))</f>
        <v>0</v>
      </c>
      <c r="K165" s="5" t="b">
        <f>AND(A165&lt;&gt;"",E165="Oui",H165&lt;&gt;"Oui",OR(AND(ISNUMBER(F165),F165&lt;IF(ISNUMBER($C$161),$C$161,TODAY()),N(G165)&lt;100),AND(ISNUMBER($C$160),$C$160-N(G165)&gt;30)))</f>
        <v>0</v>
      </c>
    </row>
    <row r="166" spans="1:11">
      <c r="A166" s="14"/>
      <c r="B166" s="14"/>
      <c r="C166" s="14"/>
      <c r="D166" s="14"/>
      <c r="E166" s="14"/>
      <c r="F166" s="39"/>
      <c r="G166" s="14"/>
      <c r="H166" s="14"/>
      <c r="I166" s="36">
        <f>IF(AND(A166&lt;&gt;"",C166&lt;&gt;"commune",D166&lt;&gt;"Oui"),MAX(0,N(B166)),0)</f>
        <v>0.0</v>
      </c>
      <c r="J166" s="5" t="b">
        <f>AND(A166&lt;&gt;"",C166&lt;&gt;"commune",D166&lt;&gt;"Oui",NOT(ISNUMBER(B166)))</f>
        <v>0</v>
      </c>
      <c r="K166" s="5" t="b">
        <f>AND(A166&lt;&gt;"",E166="Oui",H166&lt;&gt;"Oui",OR(AND(ISNUMBER(F166),F166&lt;IF(ISNUMBER($C$161),$C$161,TODAY()),N(G166)&lt;100),AND(ISNUMBER($C$160),$C$160-N(G166)&gt;30)))</f>
        <v>0</v>
      </c>
    </row>
    <row r="167" spans="1:11">
      <c r="A167" s="14"/>
      <c r="B167" s="14"/>
      <c r="C167" s="14"/>
      <c r="D167" s="14"/>
      <c r="E167" s="14"/>
      <c r="F167" s="39"/>
      <c r="G167" s="14"/>
      <c r="H167" s="14"/>
      <c r="I167" s="36">
        <f>IF(AND(A167&lt;&gt;"",C167&lt;&gt;"commune",D167&lt;&gt;"Oui"),MAX(0,N(B167)),0)</f>
        <v>0.0</v>
      </c>
      <c r="J167" s="5" t="b">
        <f>AND(A167&lt;&gt;"",C167&lt;&gt;"commune",D167&lt;&gt;"Oui",NOT(ISNUMBER(B167)))</f>
        <v>0</v>
      </c>
      <c r="K167" s="5" t="b">
        <f>AND(A167&lt;&gt;"",E167="Oui",H167&lt;&gt;"Oui",OR(AND(ISNUMBER(F167),F167&lt;IF(ISNUMBER($C$161),$C$161,TODAY()),N(G167)&lt;100),AND(ISNUMBER($C$160),$C$160-N(G167)&gt;30)))</f>
        <v>0</v>
      </c>
    </row>
    <row r="168" spans="1:11">
      <c r="A168" s="14"/>
      <c r="B168" s="14"/>
      <c r="C168" s="14"/>
      <c r="D168" s="14"/>
      <c r="E168" s="14"/>
      <c r="F168" s="39"/>
      <c r="G168" s="14"/>
      <c r="H168" s="14"/>
      <c r="I168" s="36">
        <f>IF(AND(A168&lt;&gt;"",C168&lt;&gt;"commune",D168&lt;&gt;"Oui"),MAX(0,N(B168)),0)</f>
        <v>0.0</v>
      </c>
      <c r="J168" s="5" t="b">
        <f>AND(A168&lt;&gt;"",C168&lt;&gt;"commune",D168&lt;&gt;"Oui",NOT(ISNUMBER(B168)))</f>
        <v>0</v>
      </c>
      <c r="K168" s="5" t="b">
        <f>AND(A168&lt;&gt;"",E168="Oui",H168&lt;&gt;"Oui",OR(AND(ISNUMBER(F168),F168&lt;IF(ISNUMBER($C$161),$C$161,TODAY()),N(G168)&lt;100),AND(ISNUMBER($C$160),$C$160-N(G168)&gt;30)))</f>
        <v>0</v>
      </c>
    </row>
    <row r="169" spans="1:11">
      <c r="A169" s="14"/>
      <c r="B169" s="14"/>
      <c r="C169" s="14"/>
      <c r="D169" s="14"/>
      <c r="E169" s="14"/>
      <c r="F169" s="39"/>
      <c r="G169" s="14"/>
      <c r="H169" s="14"/>
      <c r="I169" s="36">
        <f>IF(AND(A169&lt;&gt;"",C169&lt;&gt;"commune",D169&lt;&gt;"Oui"),MAX(0,N(B169)),0)</f>
        <v>0.0</v>
      </c>
      <c r="J169" s="5" t="b">
        <f>AND(A169&lt;&gt;"",C169&lt;&gt;"commune",D169&lt;&gt;"Oui",NOT(ISNUMBER(B169)))</f>
        <v>0</v>
      </c>
      <c r="K169" s="5" t="b">
        <f>AND(A169&lt;&gt;"",E169="Oui",H169&lt;&gt;"Oui",OR(AND(ISNUMBER(F169),F169&lt;IF(ISNUMBER($C$161),$C$161,TODAY()),N(G169)&lt;100),AND(ISNUMBER($C$160),$C$160-N(G169)&gt;30)))</f>
        <v>0</v>
      </c>
    </row>
    <row r="170" spans="1:11">
      <c r="A170" s="14"/>
      <c r="B170" s="14"/>
      <c r="C170" s="14"/>
      <c r="D170" s="14"/>
      <c r="E170" s="14"/>
      <c r="F170" s="39"/>
      <c r="G170" s="14"/>
      <c r="H170" s="14"/>
      <c r="I170" s="36">
        <f>IF(AND(A170&lt;&gt;"",C170&lt;&gt;"commune",D170&lt;&gt;"Oui"),MAX(0,N(B170)),0)</f>
        <v>0.0</v>
      </c>
      <c r="J170" s="5" t="b">
        <f>AND(A170&lt;&gt;"",C170&lt;&gt;"commune",D170&lt;&gt;"Oui",NOT(ISNUMBER(B170)))</f>
        <v>0</v>
      </c>
      <c r="K170" s="5" t="b">
        <f>AND(A170&lt;&gt;"",E170="Oui",H170&lt;&gt;"Oui",OR(AND(ISNUMBER(F170),F170&lt;IF(ISNUMBER($C$161),$C$161,TODAY()),N(G170)&lt;100),AND(ISNUMBER($C$160),$C$160-N(G170)&gt;30)))</f>
        <v>0</v>
      </c>
    </row>
    <row r="171" spans="1:11">
      <c r="A171" s="14"/>
      <c r="B171" s="14"/>
      <c r="C171" s="14"/>
      <c r="D171" s="14"/>
      <c r="E171" s="14"/>
      <c r="F171" s="39"/>
      <c r="G171" s="14"/>
      <c r="H171" s="14"/>
      <c r="I171" s="36">
        <f>IF(AND(A171&lt;&gt;"",C171&lt;&gt;"commune",D171&lt;&gt;"Oui"),MAX(0,N(B171)),0)</f>
        <v>0.0</v>
      </c>
      <c r="J171" s="5" t="b">
        <f>AND(A171&lt;&gt;"",C171&lt;&gt;"commune",D171&lt;&gt;"Oui",NOT(ISNUMBER(B171)))</f>
        <v>0</v>
      </c>
      <c r="K171" s="5" t="b">
        <f>AND(A171&lt;&gt;"",E171="Oui",H171&lt;&gt;"Oui",OR(AND(ISNUMBER(F171),F171&lt;IF(ISNUMBER($C$161),$C$161,TODAY()),N(G171)&lt;100),AND(ISNUMBER($C$160),$C$160-N(G171)&gt;30)))</f>
        <v>0</v>
      </c>
    </row>
    <row r="173" spans="1:11">
      <c r="A173" s="4" t="s">
        <v>699</v>
      </c>
      <c r="C173" s="34">
        <f>IF(COUNTIF(A164:A171,"?*")=0,IF(C158="","",0),IF(OR(NOT(ISNUMBER(C159)),N(C159)&lt;=0,SUMPRODUCT((J164:J171=TRUE)*1)&gt;0),"",ROUND(SUM(I164:I171)/C159*100,2)))</f>
        <v/>
      </c>
    </row>
    <row r="174" spans="1:11">
      <c r="A174" s="4" t="s">
        <v>700</v>
      </c>
      <c r="C174" s="5">
        <f>IF(COUNTIF(A164:A171,"?*")=0,IF(C158="","",FALSE),SUMPRODUCT((K164:K171=TRUE)*1)&gt;0)</f>
        <v/>
      </c>
      <c r="D174" s="35" t="s">
        <v>701</v>
      </c>
    </row>
    <row r="177" spans="1:3">
      <c r="A177" s="13" t="s">
        <v>702</v>
      </c>
    </row>
    <row r="178" spans="1:3">
      <c r="A178" s="4" t="s">
        <v>703</v>
      </c>
      <c r="C178" s="14"/>
    </row>
    <row r="179" spans="1:3">
      <c r="A179" s="4" t="s">
        <v>704</v>
      </c>
      <c r="C179" s="14"/>
    </row>
    <row r="180" spans="1:3">
      <c r="A180" s="4" t="s">
        <v>705</v>
      </c>
      <c r="C180" s="14"/>
    </row>
    <row r="181" spans="1:3">
      <c r="A181" s="4" t="s">
        <v>706</v>
      </c>
      <c r="C181" s="34">
        <f>IF(N(C178)+N(C179)+N(C180)&gt;0,ROUND(ROUND(N(C179)/(N(C178)+N(C179)+N(C180))*100,2)+ROUND(N(C180)/(N(C178)+N(C179)+N(C180))*100,2),2),"")</f>
        <v/>
      </c>
    </row>
    <row r="183" spans="1:3">
      <c r="A183" s="4" t="s">
        <v>707</v>
      </c>
      <c r="C183" s="14"/>
    </row>
    <row r="184" spans="1:3">
      <c r="A184" s="4" t="s">
        <v>708</v>
      </c>
      <c r="C184" s="14"/>
    </row>
    <row r="185" spans="1:3">
      <c r="A185" s="4" t="s">
        <v>709</v>
      </c>
      <c r="C185" s="34">
        <f>IF(N(C183)+N(C184)&gt;0,ROUND(N(C184)/(N(C183)+N(C184))*100,2),"")</f>
        <v/>
      </c>
    </row>
    <row r="187" spans="1:3">
      <c r="A187" s="4" t="s">
        <v>710</v>
      </c>
      <c r="C187" s="14"/>
    </row>
    <row r="188" spans="1:3">
      <c r="A188" s="4" t="s">
        <v>711</v>
      </c>
      <c r="C188" s="14"/>
    </row>
    <row r="189" spans="1:3">
      <c r="A189" s="4" t="s">
        <v>712</v>
      </c>
      <c r="C189" s="34">
        <f>IF(AND(ISNUMBER(C187),ISNUMBER(C188),N(C187)&gt;0),ROUND((C188-C187)/C187*100,2),"")</f>
        <v/>
      </c>
    </row>
    <row r="190" spans="1:3">
      <c r="A190" s="35" t="s">
        <v>713</v>
      </c>
    </row>
  </sheetData>
  <sheetProtection sheet="1" objects="1" scenarios="1" formatColumns="0" formatRows="0"/>
  <dataValidations count="8">
    <dataValidation type="list" allowBlank="1" showInputMessage="1" showErrorMessage="1" sqref="B5">
      <formula1>"LOTISSEMENT,CONSTRUCTION,MIXTE"</formula1>
    </dataValidation>
    <dataValidation type="list" allowBlank="1" showInputMessage="1" showErrorMessage="1" sqref="D8:D31">
      <formula1>"Oui,Non"</formula1>
    </dataValidation>
    <dataValidation type="list" allowBlank="1" showInputMessage="1" showErrorMessage="1" sqref="B42:B81">
      <formula1>R_FinCodes</formula1>
    </dataValidation>
    <dataValidation type="list" allowBlank="1" showInputMessage="1" showErrorMessage="1" sqref="D42:D81">
      <formula1>"Oui,Non"</formula1>
    </dataValidation>
    <dataValidation type="list" allowBlank="1" showInputMessage="1" showErrorMessage="1" sqref="C158">
      <formula1>"Liste ci-dessous,Aucun équipement exigé"</formula1>
    </dataValidation>
    <dataValidation type="list" allowBlank="1" showInputMessage="1" showErrorMessage="1" sqref="C164:C171">
      <formula1>"promoteur,banque,commune,autre"</formula1>
    </dataValidation>
    <dataValidation type="list" allowBlank="1" showInputMessage="1" showErrorMessage="1" sqref="D164:E171">
      <formula1>"Oui,Non"</formula1>
    </dataValidation>
    <dataValidation type="list" allowBlank="1" showInputMessage="1" showErrorMessage="1" sqref="H164:H171">
      <formula1>"Oui,Non"</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T7"/>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4.7109375" customWidth="1"/>
    <col min="2" max="2" width="36.7109375" customWidth="1"/>
    <col min="3" max="5" width="14.7109375" customWidth="1"/>
    <col min="6" max="57" width="13.7109375" customWidth="1"/>
    <col min="58" max="72" width="14.7109375" customWidth="1"/>
  </cols>
  <sheetData>
    <row r="1" spans="1:72">
      <c r="A1" s="12" t="s">
        <v>816</v>
      </c>
    </row>
    <row r="2" spans="1:72">
      <c r="A2" s="2" t="s">
        <v>817</v>
      </c>
    </row>
    <row r="3" spans="1:72">
      <c r="A3" s="13" t="s">
        <v>818</v>
      </c>
      <c r="F3" s="13" t="s">
        <v>819</v>
      </c>
    </row>
    <row r="4" spans="1:72" ht="42" customHeight="1">
      <c r="A4" s="19" t="s">
        <v>477</v>
      </c>
      <c r="B4" s="19" t="s">
        <v>551</v>
      </c>
      <c r="C4" s="19" t="s">
        <v>71</v>
      </c>
      <c r="D4" s="19" t="s">
        <v>73</v>
      </c>
      <c r="E4" s="19" t="s">
        <v>820</v>
      </c>
      <c r="F4" s="19" t="s">
        <v>121</v>
      </c>
      <c r="G4" s="19" t="s">
        <v>126</v>
      </c>
      <c r="H4" s="19" t="s">
        <v>130</v>
      </c>
      <c r="I4" s="19" t="s">
        <v>134</v>
      </c>
      <c r="J4" s="19" t="s">
        <v>137</v>
      </c>
      <c r="K4" s="19" t="s">
        <v>140</v>
      </c>
      <c r="L4" s="19" t="s">
        <v>144</v>
      </c>
      <c r="M4" s="19" t="s">
        <v>148</v>
      </c>
      <c r="N4" s="19" t="s">
        <v>151</v>
      </c>
      <c r="O4" s="19" t="s">
        <v>154</v>
      </c>
      <c r="P4" s="19" t="s">
        <v>157</v>
      </c>
      <c r="Q4" s="19" t="s">
        <v>160</v>
      </c>
      <c r="R4" s="19" t="s">
        <v>163</v>
      </c>
      <c r="S4" s="19" t="s">
        <v>166</v>
      </c>
      <c r="T4" s="19" t="s">
        <v>170</v>
      </c>
      <c r="U4" s="19" t="s">
        <v>173</v>
      </c>
      <c r="V4" s="19" t="s">
        <v>176</v>
      </c>
      <c r="W4" s="19" t="s">
        <v>179</v>
      </c>
      <c r="X4" s="19" t="s">
        <v>182</v>
      </c>
      <c r="Y4" s="19" t="s">
        <v>185</v>
      </c>
      <c r="Z4" s="19" t="s">
        <v>188</v>
      </c>
      <c r="AA4" s="19" t="s">
        <v>191</v>
      </c>
      <c r="AB4" s="19" t="s">
        <v>194</v>
      </c>
      <c r="AC4" s="19" t="s">
        <v>197</v>
      </c>
      <c r="AD4" s="19" t="s">
        <v>200</v>
      </c>
      <c r="AE4" s="19" t="s">
        <v>203</v>
      </c>
      <c r="AF4" s="19" t="s">
        <v>206</v>
      </c>
      <c r="AG4" s="19" t="s">
        <v>209</v>
      </c>
      <c r="AH4" s="19" t="s">
        <v>212</v>
      </c>
      <c r="AI4" s="19" t="s">
        <v>215</v>
      </c>
      <c r="AJ4" s="19" t="s">
        <v>218</v>
      </c>
      <c r="AK4" s="19" t="s">
        <v>222</v>
      </c>
      <c r="AL4" s="19" t="s">
        <v>225</v>
      </c>
      <c r="AM4" s="19" t="s">
        <v>228</v>
      </c>
      <c r="AN4" s="19" t="s">
        <v>231</v>
      </c>
      <c r="AO4" s="19" t="s">
        <v>235</v>
      </c>
      <c r="AP4" s="19" t="s">
        <v>238</v>
      </c>
      <c r="AQ4" s="19" t="s">
        <v>16</v>
      </c>
      <c r="AR4" s="19" t="s">
        <v>459</v>
      </c>
      <c r="AS4" s="19" t="s">
        <v>450</v>
      </c>
      <c r="AT4" s="19" t="s">
        <v>454</v>
      </c>
      <c r="AU4" s="19" t="s">
        <v>434</v>
      </c>
      <c r="AV4" s="19" t="s">
        <v>423</v>
      </c>
      <c r="AW4" s="19" t="s">
        <v>426</v>
      </c>
      <c r="AX4" s="19" t="s">
        <v>400</v>
      </c>
      <c r="AY4" s="19" t="s">
        <v>392</v>
      </c>
      <c r="AZ4" s="19" t="s">
        <v>440</v>
      </c>
      <c r="BA4" s="19" t="s">
        <v>413</v>
      </c>
      <c r="BB4" s="19" t="s">
        <v>462</v>
      </c>
      <c r="BC4" s="19" t="s">
        <v>446</v>
      </c>
      <c r="BD4" s="19" t="s">
        <v>418</v>
      </c>
      <c r="BE4" s="19" t="s">
        <v>408</v>
      </c>
      <c r="BF4" s="40" t="s">
        <v>821</v>
      </c>
      <c r="BG4" s="40" t="s">
        <v>556</v>
      </c>
      <c r="BH4" s="40" t="s">
        <v>557</v>
      </c>
      <c r="BI4" s="40" t="s">
        <v>822</v>
      </c>
      <c r="BJ4" s="40" t="s">
        <v>823</v>
      </c>
      <c r="BK4" s="40" t="s">
        <v>21</v>
      </c>
      <c r="BL4" s="40" t="s">
        <v>23</v>
      </c>
      <c r="BM4" s="40" t="s">
        <v>25</v>
      </c>
      <c r="BN4" s="40" t="s">
        <v>27</v>
      </c>
      <c r="BO4" s="40" t="s">
        <v>824</v>
      </c>
      <c r="BP4" s="40" t="s">
        <v>825</v>
      </c>
      <c r="BQ4" s="40" t="s">
        <v>826</v>
      </c>
      <c r="BR4" s="40" t="s">
        <v>827</v>
      </c>
      <c r="BS4" s="40" t="s">
        <v>828</v>
      </c>
      <c r="BT4" s="40" t="s">
        <v>829</v>
      </c>
    </row>
    <row r="5" spans="1:72">
      <c r="A5" s="14" t="s">
        <v>830</v>
      </c>
      <c r="B5" s="14" t="s">
        <v>831</v>
      </c>
      <c r="C5" s="14"/>
      <c r="D5" s="14"/>
      <c r="E5" s="14" t="s">
        <v>34</v>
      </c>
      <c r="F5" s="14">
        <v>8</v>
      </c>
      <c r="G5" s="14">
        <v>85</v>
      </c>
      <c r="H5" s="14" t="s">
        <v>259</v>
      </c>
      <c r="I5" s="14">
        <v>35</v>
      </c>
      <c r="J5" s="14" t="s">
        <v>268</v>
      </c>
      <c r="K5" s="14">
        <v>100</v>
      </c>
      <c r="L5" s="14" t="s">
        <v>277</v>
      </c>
      <c r="M5" s="14" t="s">
        <v>283</v>
      </c>
      <c r="N5" s="14" t="s">
        <v>289</v>
      </c>
      <c r="O5" s="14">
        <v>100</v>
      </c>
      <c r="P5" s="14" t="s">
        <v>294</v>
      </c>
      <c r="Q5" s="14" t="s">
        <v>294</v>
      </c>
      <c r="R5" s="14">
        <v>22</v>
      </c>
      <c r="S5" s="14">
        <v>100</v>
      </c>
      <c r="T5" s="14" t="s">
        <v>306</v>
      </c>
      <c r="U5" s="14" t="s">
        <v>312</v>
      </c>
      <c r="V5" s="14">
        <v>0</v>
      </c>
      <c r="W5" s="14" t="s">
        <v>323</v>
      </c>
      <c r="X5" s="14">
        <v>62</v>
      </c>
      <c r="Y5" s="14">
        <v>100</v>
      </c>
      <c r="Z5" s="14">
        <v>90</v>
      </c>
      <c r="AA5" s="14">
        <v>1.35</v>
      </c>
      <c r="AB5" s="14">
        <v>0</v>
      </c>
      <c r="AC5" s="14">
        <v>16</v>
      </c>
      <c r="AD5" s="14">
        <v>18</v>
      </c>
      <c r="AE5" s="14">
        <v>55</v>
      </c>
      <c r="AF5" s="14">
        <v>5</v>
      </c>
      <c r="AG5" s="14">
        <v>3</v>
      </c>
      <c r="AH5" s="14">
        <v>27</v>
      </c>
      <c r="AI5" s="14">
        <v>61</v>
      </c>
      <c r="AJ5" s="14">
        <v>65</v>
      </c>
      <c r="AK5" s="14">
        <v>125</v>
      </c>
      <c r="AL5" s="14" t="s">
        <v>365</v>
      </c>
      <c r="AM5" s="14">
        <v>3.2</v>
      </c>
      <c r="AN5" s="14">
        <v>5</v>
      </c>
      <c r="AO5" s="14">
        <v>98</v>
      </c>
      <c r="AP5" s="14">
        <v>2</v>
      </c>
      <c r="AQ5" s="14">
        <v>0</v>
      </c>
      <c r="AR5" s="14">
        <v>0</v>
      </c>
      <c r="AS5" s="14">
        <v>0</v>
      </c>
      <c r="AT5" s="14" t="s">
        <v>532</v>
      </c>
      <c r="AU5" s="14" t="s">
        <v>534</v>
      </c>
      <c r="AV5" s="14" t="s">
        <v>36</v>
      </c>
      <c r="AW5" s="14" t="s">
        <v>36</v>
      </c>
      <c r="AX5" s="14" t="s">
        <v>36</v>
      </c>
      <c r="AY5" s="14" t="s">
        <v>36</v>
      </c>
      <c r="AZ5" s="14" t="s">
        <v>36</v>
      </c>
      <c r="BA5" s="14" t="s">
        <v>36</v>
      </c>
      <c r="BB5" s="14" t="s">
        <v>36</v>
      </c>
      <c r="BC5" s="14" t="s">
        <v>36</v>
      </c>
      <c r="BD5" s="14" t="s">
        <v>36</v>
      </c>
      <c r="BE5" s="14" t="s">
        <v>36</v>
      </c>
    </row>
    <row r="6" spans="1:72">
      <c r="A6" s="14" t="s">
        <v>832</v>
      </c>
      <c r="B6" s="14" t="s">
        <v>833</v>
      </c>
      <c r="C6" s="14" t="s">
        <v>99</v>
      </c>
      <c r="D6" s="14" t="s">
        <v>101</v>
      </c>
      <c r="E6" s="14" t="s">
        <v>34</v>
      </c>
      <c r="F6" s="14">
        <v>2</v>
      </c>
      <c r="G6" s="14">
        <v>120</v>
      </c>
      <c r="H6" s="14" t="s">
        <v>257</v>
      </c>
      <c r="I6" s="14">
        <v>50</v>
      </c>
      <c r="J6" s="14" t="s">
        <v>266</v>
      </c>
      <c r="K6" s="14">
        <v>90</v>
      </c>
      <c r="L6" s="14" t="s">
        <v>275</v>
      </c>
      <c r="M6" s="14" t="s">
        <v>281</v>
      </c>
      <c r="N6" s="14" t="s">
        <v>287</v>
      </c>
      <c r="O6" s="14">
        <v>90</v>
      </c>
      <c r="P6" s="14" t="s">
        <v>281</v>
      </c>
      <c r="Q6" s="14" t="s">
        <v>287</v>
      </c>
      <c r="R6" s="14">
        <v>30</v>
      </c>
      <c r="S6" s="14">
        <v>70</v>
      </c>
      <c r="T6" s="14" t="s">
        <v>304</v>
      </c>
      <c r="U6" s="14" t="s">
        <v>310</v>
      </c>
      <c r="V6" s="14">
        <v>1.5</v>
      </c>
      <c r="W6" s="14" t="s">
        <v>319</v>
      </c>
      <c r="X6" s="14">
        <v>35</v>
      </c>
      <c r="Y6" s="14">
        <v>90</v>
      </c>
      <c r="Z6" s="14">
        <v>180</v>
      </c>
      <c r="AA6" s="14">
        <v>1.1</v>
      </c>
      <c r="AB6" s="14">
        <v>5</v>
      </c>
      <c r="AC6" s="14">
        <v>24</v>
      </c>
      <c r="AD6" s="14">
        <v>12</v>
      </c>
      <c r="AE6" s="14">
        <v>30</v>
      </c>
      <c r="AF6" s="14">
        <v>25</v>
      </c>
      <c r="AG6" s="14">
        <v>12</v>
      </c>
      <c r="AH6" s="14">
        <v>20</v>
      </c>
      <c r="AI6" s="14">
        <v>70</v>
      </c>
      <c r="AJ6" s="14">
        <v>78</v>
      </c>
      <c r="AK6" s="14">
        <v>100</v>
      </c>
      <c r="AL6" s="14" t="s">
        <v>365</v>
      </c>
      <c r="AM6" s="14">
        <v>2</v>
      </c>
      <c r="AN6" s="14">
        <v>-5</v>
      </c>
      <c r="AO6" s="14">
        <v>108</v>
      </c>
      <c r="AP6" s="14">
        <v>7</v>
      </c>
      <c r="AQ6" s="14">
        <v>0</v>
      </c>
      <c r="AR6" s="14">
        <v>0</v>
      </c>
      <c r="AS6" s="14">
        <v>0</v>
      </c>
      <c r="AT6" s="14" t="s">
        <v>532</v>
      </c>
      <c r="AU6" s="14" t="s">
        <v>534</v>
      </c>
      <c r="AV6" s="14" t="s">
        <v>36</v>
      </c>
      <c r="AW6" s="14" t="s">
        <v>36</v>
      </c>
      <c r="AX6" s="14" t="s">
        <v>36</v>
      </c>
      <c r="AY6" s="14" t="s">
        <v>36</v>
      </c>
      <c r="AZ6" s="14" t="s">
        <v>36</v>
      </c>
      <c r="BA6" s="14" t="s">
        <v>36</v>
      </c>
      <c r="BB6" s="14" t="s">
        <v>36</v>
      </c>
      <c r="BC6" s="14" t="s">
        <v>36</v>
      </c>
      <c r="BD6" s="14" t="s">
        <v>36</v>
      </c>
      <c r="BE6" s="14" t="s">
        <v>36</v>
      </c>
    </row>
    <row r="7" spans="1:72">
      <c r="A7" s="14" t="s">
        <v>834</v>
      </c>
      <c r="B7" s="14" t="s">
        <v>835</v>
      </c>
      <c r="C7" s="14"/>
      <c r="D7" s="14"/>
      <c r="E7" s="14" t="s">
        <v>34</v>
      </c>
      <c r="F7" s="14">
        <v>8</v>
      </c>
      <c r="G7" s="14">
        <v>85</v>
      </c>
      <c r="H7" s="14" t="s">
        <v>259</v>
      </c>
      <c r="I7" s="14">
        <v>35</v>
      </c>
      <c r="J7" s="14" t="s">
        <v>268</v>
      </c>
      <c r="K7" s="14">
        <v>100</v>
      </c>
      <c r="L7" s="14" t="s">
        <v>277</v>
      </c>
      <c r="M7" s="14" t="s">
        <v>283</v>
      </c>
      <c r="N7" s="14" t="s">
        <v>289</v>
      </c>
      <c r="O7" s="14">
        <v>100</v>
      </c>
      <c r="P7" s="14" t="s">
        <v>294</v>
      </c>
      <c r="Q7" s="14" t="s">
        <v>294</v>
      </c>
      <c r="R7" s="14">
        <v>22</v>
      </c>
      <c r="S7" s="14">
        <v>100</v>
      </c>
      <c r="T7" s="14" t="s">
        <v>306</v>
      </c>
      <c r="U7" s="14" t="s">
        <v>312</v>
      </c>
      <c r="V7" s="14">
        <v>0</v>
      </c>
      <c r="W7" s="14" t="s">
        <v>323</v>
      </c>
      <c r="X7" s="14">
        <v>62</v>
      </c>
      <c r="Y7" s="14">
        <v>100</v>
      </c>
      <c r="Z7" s="14">
        <v>90</v>
      </c>
      <c r="AA7" s="14">
        <v>1.35</v>
      </c>
      <c r="AB7" s="14">
        <v>0</v>
      </c>
      <c r="AC7" s="14">
        <v>16</v>
      </c>
      <c r="AD7" s="14">
        <v>18</v>
      </c>
      <c r="AE7" s="14">
        <v>55</v>
      </c>
      <c r="AF7" s="14">
        <v>5</v>
      </c>
      <c r="AG7" s="14">
        <v>3</v>
      </c>
      <c r="AH7" s="14">
        <v>27</v>
      </c>
      <c r="AI7" s="14">
        <v>61</v>
      </c>
      <c r="AJ7" s="14">
        <v>65</v>
      </c>
      <c r="AK7" s="14">
        <v>125</v>
      </c>
      <c r="AL7" s="14" t="s">
        <v>363</v>
      </c>
      <c r="AM7" s="14">
        <v>3.2</v>
      </c>
      <c r="AN7" s="14">
        <v>5</v>
      </c>
      <c r="AO7" s="14">
        <v>98</v>
      </c>
      <c r="AP7" s="14">
        <v>2</v>
      </c>
      <c r="AQ7" s="14">
        <v>0</v>
      </c>
      <c r="AR7" s="14">
        <v>0</v>
      </c>
      <c r="AS7" s="14">
        <v>0</v>
      </c>
      <c r="AT7" s="14" t="s">
        <v>455</v>
      </c>
      <c r="AU7" s="14" t="s">
        <v>534</v>
      </c>
      <c r="AV7" s="14" t="s">
        <v>36</v>
      </c>
      <c r="AW7" s="14" t="s">
        <v>36</v>
      </c>
      <c r="AX7" s="14" t="s">
        <v>36</v>
      </c>
      <c r="AY7" s="14" t="s">
        <v>36</v>
      </c>
      <c r="AZ7" s="14" t="s">
        <v>36</v>
      </c>
      <c r="BA7" s="14" t="s">
        <v>36</v>
      </c>
      <c r="BB7" s="14" t="s">
        <v>36</v>
      </c>
      <c r="BC7" s="14" t="s">
        <v>36</v>
      </c>
      <c r="BD7" s="14" t="s">
        <v>36</v>
      </c>
      <c r="BE7" s="14" t="s">
        <v>36</v>
      </c>
    </row>
  </sheetData>
  <dataValidations count="3">
    <dataValidation type="list" errorStyle="warning" allowBlank="1" showInputMessage="1" showErrorMessage="1" sqref="C5:C204">
      <formula1>P_SegCodes</formula1>
    </dataValidation>
    <dataValidation type="list" errorStyle="warning" allowBlank="1" showInputMessage="1" showErrorMessage="1" sqref="D5:D204">
      <formula1>P_ZoneCodes</formula1>
    </dataValidation>
    <dataValidation type="list" allowBlank="1" showInputMessage="1" showErrorMessage="1" sqref="E5:E204">
      <formula1>P_ClsCodes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14"/>
  <sheetViews>
    <sheetView workbookViewId="0"/>
  </sheetViews>
  <sheetFormatPr defaultRowHeight="15"/>
  <cols>
    <col min="1" max="1" width="12.7109375" customWidth="1"/>
    <col min="2" max="2" width="22.7109375" customWidth="1"/>
    <col min="3" max="12" width="14.7109375" customWidth="1"/>
  </cols>
  <sheetData>
    <row r="1" spans="1:12">
      <c r="A1" s="12" t="s">
        <v>909</v>
      </c>
    </row>
    <row r="2" spans="1:12">
      <c r="A2" s="2" t="s">
        <v>910</v>
      </c>
    </row>
    <row r="3" spans="1:12">
      <c r="A3" s="4" t="s">
        <v>911</v>
      </c>
      <c r="C3" s="5"/>
      <c r="D3" s="4" t="s">
        <v>912</v>
      </c>
      <c r="E3" s="5"/>
    </row>
    <row r="4" spans="1:12">
      <c r="A4" s="19" t="s">
        <v>913</v>
      </c>
      <c r="B4" s="19" t="s">
        <v>30</v>
      </c>
      <c r="C4" s="19" t="s">
        <v>914</v>
      </c>
      <c r="D4" s="19" t="s">
        <v>915</v>
      </c>
      <c r="E4" s="19" t="s">
        <v>916</v>
      </c>
      <c r="F4" s="19" t="s">
        <v>917</v>
      </c>
      <c r="G4" s="19" t="s">
        <v>918</v>
      </c>
      <c r="H4" s="19" t="s">
        <v>919</v>
      </c>
      <c r="I4" s="19" t="s">
        <v>920</v>
      </c>
      <c r="J4" s="19" t="s">
        <v>821</v>
      </c>
      <c r="K4" s="19" t="s">
        <v>556</v>
      </c>
      <c r="L4" s="19" t="s">
        <v>921</v>
      </c>
    </row>
    <row r="5" spans="1:12">
      <c r="A5" s="41" t="s">
        <v>922</v>
      </c>
      <c r="B5" s="41" t="s">
        <v>923</v>
      </c>
      <c r="C5" s="42">
        <v>10</v>
      </c>
      <c r="D5" s="42">
        <v>0</v>
      </c>
      <c r="E5" s="42">
        <v>0</v>
      </c>
      <c r="F5" s="42">
        <v>0</v>
      </c>
      <c r="G5" s="42">
        <v>0</v>
      </c>
      <c r="H5" s="42">
        <v>0</v>
      </c>
      <c r="I5" s="42">
        <v>0</v>
      </c>
      <c r="J5" s="5"/>
      <c r="K5" s="5"/>
      <c r="L5" s="5"/>
    </row>
    <row r="6" spans="1:12">
      <c r="A6" s="41" t="s">
        <v>924</v>
      </c>
      <c r="B6" s="41" t="s">
        <v>925</v>
      </c>
      <c r="C6" s="42">
        <v>15</v>
      </c>
      <c r="D6" s="42">
        <v>0</v>
      </c>
      <c r="E6" s="42">
        <v>0</v>
      </c>
      <c r="F6" s="42">
        <v>0</v>
      </c>
      <c r="G6" s="42">
        <v>0</v>
      </c>
      <c r="H6" s="42">
        <v>0</v>
      </c>
      <c r="I6" s="42">
        <v>0</v>
      </c>
      <c r="J6" s="5"/>
      <c r="K6" s="5"/>
      <c r="L6" s="5"/>
    </row>
    <row r="7" spans="1:12">
      <c r="A7" s="41" t="s">
        <v>926</v>
      </c>
      <c r="B7" s="41" t="s">
        <v>927</v>
      </c>
      <c r="C7" s="42">
        <v>0</v>
      </c>
      <c r="D7" s="42">
        <v>10</v>
      </c>
      <c r="E7" s="42">
        <v>0</v>
      </c>
      <c r="F7" s="42">
        <v>0</v>
      </c>
      <c r="G7" s="42">
        <v>0</v>
      </c>
      <c r="H7" s="42">
        <v>0</v>
      </c>
      <c r="I7" s="42">
        <v>0</v>
      </c>
      <c r="J7" s="5"/>
      <c r="K7" s="5"/>
      <c r="L7" s="5"/>
    </row>
    <row r="8" spans="1:12">
      <c r="A8" s="41" t="s">
        <v>928</v>
      </c>
      <c r="B8" s="41" t="s">
        <v>929</v>
      </c>
      <c r="C8" s="42">
        <v>0</v>
      </c>
      <c r="D8" s="42">
        <v>0</v>
      </c>
      <c r="E8" s="42">
        <v>6</v>
      </c>
      <c r="F8" s="42">
        <v>0</v>
      </c>
      <c r="G8" s="42">
        <v>0</v>
      </c>
      <c r="H8" s="42">
        <v>0</v>
      </c>
      <c r="I8" s="42">
        <v>0</v>
      </c>
      <c r="J8" s="5"/>
      <c r="K8" s="5"/>
      <c r="L8" s="5"/>
    </row>
    <row r="9" spans="1:12">
      <c r="A9" s="41" t="s">
        <v>930</v>
      </c>
      <c r="B9" s="41" t="s">
        <v>931</v>
      </c>
      <c r="C9" s="42">
        <v>0</v>
      </c>
      <c r="D9" s="42">
        <v>0</v>
      </c>
      <c r="E9" s="42">
        <v>0</v>
      </c>
      <c r="F9" s="42">
        <v>20</v>
      </c>
      <c r="G9" s="42">
        <v>0</v>
      </c>
      <c r="H9" s="42">
        <v>0</v>
      </c>
      <c r="I9" s="42">
        <v>0</v>
      </c>
      <c r="J9" s="5"/>
      <c r="K9" s="5"/>
      <c r="L9" s="5"/>
    </row>
    <row r="10" spans="1:12">
      <c r="A10" s="41" t="s">
        <v>932</v>
      </c>
      <c r="B10" s="41" t="s">
        <v>933</v>
      </c>
      <c r="C10" s="42">
        <v>0</v>
      </c>
      <c r="D10" s="42">
        <v>0</v>
      </c>
      <c r="E10" s="42">
        <v>0</v>
      </c>
      <c r="F10" s="42">
        <v>0</v>
      </c>
      <c r="G10" s="42">
        <v>200</v>
      </c>
      <c r="H10" s="42">
        <v>0</v>
      </c>
      <c r="I10" s="42">
        <v>0</v>
      </c>
      <c r="J10" s="5"/>
      <c r="K10" s="5"/>
      <c r="L10" s="5"/>
    </row>
    <row r="11" spans="1:12">
      <c r="A11" s="41" t="s">
        <v>934</v>
      </c>
      <c r="B11" s="41" t="s">
        <v>935</v>
      </c>
      <c r="C11" s="42">
        <v>15</v>
      </c>
      <c r="D11" s="42">
        <v>10</v>
      </c>
      <c r="E11" s="42">
        <v>6</v>
      </c>
      <c r="F11" s="42">
        <v>20</v>
      </c>
      <c r="G11" s="42">
        <v>200</v>
      </c>
      <c r="H11" s="42">
        <v>0</v>
      </c>
      <c r="I11" s="42">
        <v>0</v>
      </c>
      <c r="J11" s="5"/>
      <c r="K11" s="5"/>
      <c r="L11" s="5"/>
    </row>
    <row r="12" spans="1:12">
      <c r="A12" s="41"/>
      <c r="B12" s="41"/>
      <c r="C12" s="41"/>
      <c r="D12" s="41"/>
      <c r="E12" s="41"/>
      <c r="F12" s="41"/>
      <c r="G12" s="41"/>
      <c r="H12" s="41"/>
      <c r="I12" s="41"/>
      <c r="J12" s="5"/>
      <c r="K12" s="5"/>
      <c r="L12" s="5"/>
    </row>
    <row r="13" spans="1:12">
      <c r="A13" s="41"/>
      <c r="B13" s="41"/>
      <c r="C13" s="41"/>
      <c r="D13" s="41"/>
      <c r="E13" s="41"/>
      <c r="F13" s="41"/>
      <c r="G13" s="41"/>
      <c r="H13" s="41"/>
      <c r="I13" s="41"/>
      <c r="J13" s="5"/>
      <c r="K13" s="5"/>
      <c r="L13" s="5"/>
    </row>
    <row r="14" spans="1:12">
      <c r="A14" s="41"/>
      <c r="B14" s="41"/>
      <c r="C14" s="41"/>
      <c r="D14" s="41"/>
      <c r="E14" s="41"/>
      <c r="F14" s="41"/>
      <c r="G14" s="41"/>
      <c r="H14" s="41"/>
      <c r="I14" s="41"/>
      <c r="J14" s="5"/>
      <c r="K14" s="5"/>
      <c r="L14" s="5"/>
    </row>
  </sheetData>
  <conditionalFormatting sqref="K5:K14">
    <cfRule type="cellIs" dxfId="3" priority="1" operator="equal">
      <formula>"Défavorable"</formula>
    </cfRule>
    <cfRule type="cellIs" dxfId="0" priority="2" operator="equal">
      <formula>"Favorable"</formula>
    </cfRule>
    <cfRule type="cellIs" dxfId="6" priority="3" operator="equal">
      <formula>"Favorable sous conditions"</formula>
    </cfRule>
    <cfRule type="cellIs" dxfId="2" priority="4" operator="equal">
      <formula>"Surveillance (watch list)"</formula>
    </cfRule>
    <cfRule type="cellIs" dxfId="4" priority="5" operator="equal">
      <formula>"Dossier incomplet"</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A9D08E"/>
  </sheetPr>
  <dimension ref="A1:V137"/>
  <sheetViews>
    <sheetView showGridLines="0" workbookViewId="0">
      <pane ySplit="4" topLeftCell="A5" activePane="bottomLeft" state="frozen"/>
      <selection pane="bottomLeft"/>
    </sheetView>
  </sheetViews>
  <sheetFormatPr defaultRowHeight="15"/>
  <cols>
    <col min="1" max="1" width="30.7109375" customWidth="1"/>
    <col min="2" max="2" width="36.7109375" customWidth="1"/>
    <col min="3" max="3" width="48.7109375" customWidth="1"/>
    <col min="4" max="4" width="26.7109375" customWidth="1"/>
    <col min="5" max="5" width="14.7109375" customWidth="1"/>
    <col min="6" max="6" width="12.7109375" customWidth="1"/>
    <col min="7" max="7" width="40.7109375" customWidth="1"/>
    <col min="8" max="8" width="22.7109375" customWidth="1"/>
    <col min="9" max="19" width="12.7109375" customWidth="1"/>
    <col min="21" max="22" width="16.7109375" customWidth="1"/>
  </cols>
  <sheetData>
    <row r="1" spans="1:8">
      <c r="A1" s="12" t="s">
        <v>714</v>
      </c>
    </row>
    <row r="2" spans="1:8">
      <c r="A2" s="2" t="str">
        <f>"Modèle "&amp;P_Version&amp;" — "&amp;Saisie!C4&amp;" "&amp;Saisie!C5</f>
        <v>Modèle v5.0.0 — EXEMPLE Dossier d'exemple — à remplacer (ruban « Scoring PI » › Nouveau dossier)</v>
      </c>
    </row>
    <row r="3" spans="1:8">
      <c r="A3" s="2" t="s">
        <v>769</v>
      </c>
    </row>
    <row r="5" spans="1:8">
      <c r="E5" s="43" t="s">
        <v>734</v>
      </c>
      <c r="F5" s="13" t="s">
        <v>735</v>
      </c>
      <c r="G5" s="13"/>
    </row>
    <row r="6" spans="1:8" ht="30" customHeight="1">
      <c r="A6" s="4" t="s">
        <v>555</v>
      </c>
      <c r="C6" s="44">
        <f>IF(E28,0,ROUND(MIN(100,MAX(0,C13*C14)),2))</f>
        <v>68.46</v>
      </c>
      <c r="F6" s="5" t="s">
        <v>736</v>
      </c>
      <c r="H6" s="5" t="str">
        <f>IF(Saisie!C9="","(non renseignée)",Saisie!C9)</f>
        <v>CONSTRUCTION</v>
      </c>
    </row>
    <row r="7" spans="1:8" ht="24" customHeight="1">
      <c r="A7" s="4" t="s">
        <v>556</v>
      </c>
      <c r="C7" s="45" t="str">
        <f>IF(E28,"NO_GO",IF(E21,"NO_GO",IF(E22,"NO_GO",IF(E23,"DOSSIER_INCOMPLET",IF(E20,"NO_GO",IF(C6&gt;=P_GO,"GO",IF(C6&gt;=P_GWC,"GO_WITH_CONDITIONS",IF(C6&gt;=P_WATCH,"WATCH_LIST","NO_GO"))))))))</f>
        <v>GO_WITH_CONDITIONS</v>
      </c>
      <c r="F7" s="5" t="s">
        <v>737</v>
      </c>
      <c r="H7" s="5">
        <f>IF(Saisie!C9="","",IF(SUM(F32:F39)=0,"",ROUND(SUM(G32:G39)/SUM(F32:F39),2)))</f>
        <v>94.3</v>
      </c>
    </row>
    <row r="8" spans="1:8" ht="24" customHeight="1">
      <c r="A8" s="4" t="s">
        <v>557</v>
      </c>
      <c r="C8" s="45" t="str">
        <f>IF(E28,"Souffrance",IF(E21,"Souffrance",IF(E22,"Défaut avéré",IF(E23,"Dossier incomplet",IF(C6&gt;=P_GO,"Sain",IF(C6&gt;=P_GWC,"Surveillance",IF(C6&gt;=P_WATCH,"Sensible probable","Sensible")))))))</f>
        <v>Surveillance</v>
      </c>
      <c r="F8" s="5" t="s">
        <v>738</v>
      </c>
      <c r="H8" s="5">
        <f>IF(H7="","",ROUND(H7-C10,2))</f>
        <v>0.84</v>
      </c>
    </row>
    <row r="9" spans="1:8">
      <c r="A9" s="4" t="s">
        <v>715</v>
      </c>
      <c r="C9" s="46">
        <f>IF(E23,"n/d",ROUND(1/(1+EXP(-(P_PDa-P_PDb*C6))),4))</f>
        <v>0.0367</v>
      </c>
      <c r="F9" s="5" t="s">
        <v>739</v>
      </c>
      <c r="H9" s="5">
        <f>ROUND(MIN(100,MAX(0,C10)),2)</f>
        <v>93.46</v>
      </c>
    </row>
    <row r="10" spans="1:8">
      <c r="A10" s="4" t="s">
        <v>716</v>
      </c>
      <c r="C10" s="34">
        <f>IF(SUM(D32:D39)=0,0,ROUND(SUM(E32:E39)/SUM(D32:D39),2))</f>
        <v>93.46</v>
      </c>
      <c r="F10" s="5" t="s">
        <v>740</v>
      </c>
      <c r="H10" s="5">
        <f>ROUND(C11-H9,2)</f>
        <v>0.0</v>
      </c>
    </row>
    <row r="11" spans="1:8">
      <c r="A11" s="4" t="s">
        <v>717</v>
      </c>
      <c r="C11" s="34">
        <f>ROUND(MIN(100,MAX(0,C10*(1+C17+C18))),2)</f>
        <v>93.46</v>
      </c>
    </row>
    <row r="12" spans="1:8">
      <c r="A12" s="4" t="s">
        <v>718</v>
      </c>
      <c r="C12" s="34">
        <f>SUM(J108:J137)</f>
        <v>25.0</v>
      </c>
    </row>
    <row r="13" spans="1:8">
      <c r="A13" s="4" t="s">
        <v>719</v>
      </c>
      <c r="C13" s="34">
        <f>ROUND(MIN(100,MAX(0,C11-C12)),2)</f>
        <v>68.46</v>
      </c>
    </row>
    <row r="14" spans="1:8">
      <c r="A14" s="4" t="s">
        <v>720</v>
      </c>
      <c r="C14" s="34">
        <f>IF(Saisie!C8="",1,IFERROR(VLOOKUP(Saisie!C8,P_Classes,5,FALSE),1))</f>
        <v>1.0</v>
      </c>
    </row>
    <row r="15" spans="1:8">
      <c r="A15" s="4" t="s">
        <v>721</v>
      </c>
      <c r="C15" s="34">
        <f>IFERROR(ROUND(SUMPRODUCT($Q$44:$Q$103*($N$44:$N$103&lt;&gt;"GUARANTEE")*$F$44:$F$103)/SUMPRODUCT($Q$44:$Q$103*($N$44:$N$103&lt;&gt;"GUARANTEE"))/P_Scale*100,2),C10)</f>
        <v>92.47</v>
      </c>
    </row>
    <row r="16" spans="1:8">
      <c r="A16" s="4" t="s">
        <v>722</v>
      </c>
      <c r="C16" s="34">
        <f>IFERROR(ROUND(SUMPRODUCT($Q$44:$Q$103*($N$44:$N$103="GUARANTEE")*$F$44:$F$103)/SUMPRODUCT($Q$44:$Q$103*($N$44:$N$103="GUARANTEE"))/P_Scale*100,2),"n/a")</f>
        <v>100.0</v>
      </c>
    </row>
    <row r="17" spans="1:7">
      <c r="A17" s="4" t="s">
        <v>723</v>
      </c>
      <c r="C17" s="46">
        <f>IF(Saisie!$D$6="",0,IFERROR(VLOOKUP(Saisie!$D$6,P_SegTbl,3,FALSE),0))</f>
        <v>0.0</v>
      </c>
    </row>
    <row r="18" spans="1:7">
      <c r="A18" s="4" t="s">
        <v>724</v>
      </c>
      <c r="C18" s="46">
        <f>IF(Saisie!$D$7="",0,IFERROR(VLOOKUP(Saisie!$D$7,P_ZoneTbl,3,FALSE),0))</f>
        <v>0.0</v>
      </c>
    </row>
    <row r="19" spans="1:7">
      <c r="A19" s="4" t="s">
        <v>725</v>
      </c>
      <c r="C19" s="5" t="str">
        <f>IF(E19,"Oui — à signaler","Non")</f>
        <v>Non</v>
      </c>
      <c r="E19" s="43" t="b">
        <f>OR(AND(Saisie!$D$6&lt;&gt;"",ISNA(MATCH(Saisie!$D$6,P_SegCodes,0))),AND(Saisie!$D$7&lt;&gt;"",ISNA(MATCH(Saisie!$D$7,P_ZoneCodes,0))))</f>
        <v>0</v>
      </c>
    </row>
    <row r="20" spans="1:7">
      <c r="A20" s="4" t="s">
        <v>726</v>
      </c>
      <c r="C20" s="5" t="str">
        <f>IF(E20,"Oui","Non")</f>
        <v>Non</v>
      </c>
      <c r="E20" s="43" t="b">
        <f>OR(I44:I103)</f>
        <v>0</v>
      </c>
    </row>
    <row r="21" spans="1:7">
      <c r="A21" s="4" t="s">
        <v>727</v>
      </c>
      <c r="C21" s="5" t="str">
        <f>IF(E21,"Oui","Non")</f>
        <v>Non</v>
      </c>
      <c r="E21" s="43" t="b">
        <f>SUMPRODUCT((C108:C137="BLOCKING")*(H108:H137=TRUE))&gt;0</f>
        <v>0</v>
      </c>
    </row>
    <row r="22" spans="1:7">
      <c r="A22" s="4" t="s">
        <v>728</v>
      </c>
      <c r="C22" s="5" t="str">
        <f>IF(E22,"Oui","Non")</f>
        <v>Non</v>
      </c>
      <c r="E22" s="43" t="b">
        <f>OR(IFERROR(VLOOKUP(Saisie!C8,P_Classes,3,FALSE)="Oui",FALSE),Saisie!C8="CTX")</f>
        <v>0</v>
      </c>
    </row>
    <row r="23" spans="1:7">
      <c r="A23" s="4" t="s">
        <v>729</v>
      </c>
      <c r="C23" s="5" t="str">
        <f>IF(E23,"Oui","Non")</f>
        <v>Non</v>
      </c>
      <c r="E23" s="43" t="b">
        <f>OR(Saisie!C8="",J43,SUMPRODUCT((J44:J103=TRUE)*1)&gt;0,SUMPRODUCT((L108:L137=TRUE)*1)&gt;0)</f>
        <v>0</v>
      </c>
    </row>
    <row r="24" spans="1:7" ht="32" customHeight="1">
      <c r="A24" s="4" t="s">
        <v>559</v>
      </c>
      <c r="C24" s="47">
        <f>IF(C6=C6,O137,"")</f>
        <v/>
      </c>
    </row>
    <row r="25" spans="1:7" ht="32" customHeight="1">
      <c r="A25" s="4" t="s">
        <v>730</v>
      </c>
      <c r="C25" s="47">
        <f>S103</f>
        <v/>
      </c>
    </row>
    <row r="26" spans="1:7" ht="32" customHeight="1">
      <c r="A26" s="4" t="s">
        <v>731</v>
      </c>
      <c r="C26" s="47" t="str">
        <f>N137</f>
        <v>RF_CASH_LT_ECH</v>
      </c>
    </row>
    <row r="27" spans="1:7">
      <c r="A27" s="4" t="s">
        <v>732</v>
      </c>
      <c r="C27" s="5" t="str">
        <f>IF(E27,"Oui","Non")</f>
        <v>Non</v>
      </c>
      <c r="E27" s="43" t="b">
        <f>OR(K108:K137)</f>
        <v>0</v>
      </c>
    </row>
    <row r="28" spans="1:7">
      <c r="A28" s="4" t="s">
        <v>733</v>
      </c>
      <c r="C28" s="5" t="str">
        <f>IF(E28,"Oui","Non")</f>
        <v>Non</v>
      </c>
      <c r="E28" s="43" t="b">
        <f>OR(IFERROR(VLOOKUP(Saisie!C8,P_Classes,4,FALSE)="Oui",FALSE),Saisie!C8="CTX")</f>
        <v>0</v>
      </c>
    </row>
    <row r="30" spans="1:7">
      <c r="A30" s="13" t="s">
        <v>741</v>
      </c>
    </row>
    <row r="31" spans="1:7">
      <c r="A31" s="19" t="s">
        <v>18</v>
      </c>
      <c r="B31" s="19" t="s">
        <v>109</v>
      </c>
      <c r="C31" s="19" t="s">
        <v>742</v>
      </c>
      <c r="D31" s="19" t="s">
        <v>20</v>
      </c>
      <c r="E31" s="19" t="s">
        <v>743</v>
      </c>
      <c r="F31" s="19" t="s">
        <v>744</v>
      </c>
      <c r="G31" s="19" t="s">
        <v>745</v>
      </c>
    </row>
    <row r="32" spans="1:7">
      <c r="A32" s="5" t="str">
        <f>IF(P_General!A16="","",P_General!A16)</f>
        <v>D1</v>
      </c>
      <c r="B32" s="5" t="str">
        <f>IF($A32="","",P_General!B16)</f>
        <v>Sponsor &amp; Gouvernance</v>
      </c>
      <c r="C32" s="34">
        <f>IF($A32="",0,IF(SUMIF($B$44:$B$103,$A32,$G$44:$G$103)&gt;0,ROUND(SUMIF($B$44:$B$103,$A32,$H$44:$H$103)/SUMIF($B$44:$B$103,$A32,$G$44:$G$103)/P_Scale*100,2),0))</f>
        <v>100.0</v>
      </c>
      <c r="D32" s="34">
        <f>IF($A32="",0,P_General!C16)</f>
        <v>0.25</v>
      </c>
      <c r="E32" s="34">
        <f>IF($A32="",0,ROUND(C32*D32,2))</f>
        <v>25.0</v>
      </c>
      <c r="F32" s="34">
        <f>IF($A32="",0,IFERROR(INDEX(P_PhaseTbl,MATCH(Saisie!$C$9,P_PhaseCodes,0),MATCH($A32,P_PhaseHdr,0)+1),0))</f>
        <v>0.2</v>
      </c>
      <c r="G32" s="34">
        <f>ROUND(C32*F32,2)</f>
        <v>20.0</v>
      </c>
    </row>
    <row r="33" spans="1:22">
      <c r="A33" s="5" t="str">
        <f>IF(P_General!A17="","",P_General!A17)</f>
        <v>D2</v>
      </c>
      <c r="B33" s="5" t="str">
        <f>IF($A33="","",P_General!B17)</f>
        <v>Qualité intrinsèque du projet</v>
      </c>
      <c r="C33" s="34">
        <f>IF($A33="",0,IF(SUMIF($B$44:$B$103,$A33,$G$44:$G$103)&gt;0,ROUND(SUMIF($B$44:$B$103,$A33,$H$44:$H$103)/SUMIF($B$44:$B$103,$A33,$G$44:$G$103)/P_Scale*100,2),0))</f>
        <v>100.0</v>
      </c>
      <c r="D33" s="34">
        <f>IF($A33="",0,P_General!C17)</f>
        <v>0.2</v>
      </c>
      <c r="E33" s="34">
        <f>IF($A33="",0,ROUND(C33*D33,2))</f>
        <v>20.0</v>
      </c>
      <c r="F33" s="34">
        <f>IF($A33="",0,IFERROR(INDEX(P_PhaseTbl,MATCH(Saisie!$C$9,P_PhaseCodes,0),MATCH($A33,P_PhaseHdr,0)+1),0))</f>
        <v>0.25</v>
      </c>
      <c r="G33" s="34">
        <f>ROUND(C33*F33,2)</f>
        <v>25.0</v>
      </c>
    </row>
    <row r="34" spans="1:22">
      <c r="A34" s="5" t="str">
        <f>IF(P_General!A18="","",P_General!A18)</f>
        <v>D3</v>
      </c>
      <c r="B34" s="5" t="str">
        <f>IF($A34="","",P_General!B18)</f>
        <v>Commercial &amp; Cash-flow</v>
      </c>
      <c r="C34" s="34">
        <f>IF($A34="",0,IF(SUMIF($B$44:$B$103,$A34,$G$44:$G$103)&gt;0,ROUND(SUMIF($B$44:$B$103,$A34,$H$44:$H$103)/SUMIF($B$44:$B$103,$A34,$G$44:$G$103)/P_Scale*100,2),0))</f>
        <v>82.0</v>
      </c>
      <c r="D34" s="34">
        <f>IF($A34="",0,P_General!C18)</f>
        <v>0.31</v>
      </c>
      <c r="E34" s="34">
        <f>IF($A34="",0,ROUND(C34*D34,2))</f>
        <v>25.42</v>
      </c>
      <c r="F34" s="34">
        <f>IF($A34="",0,IFERROR(INDEX(P_PhaseTbl,MATCH(Saisie!$C$9,P_PhaseCodes,0),MATCH($A34,P_PhaseHdr,0)+1),0))</f>
        <v>0.25</v>
      </c>
      <c r="G34" s="34">
        <f>ROUND(C34*F34,2)</f>
        <v>20.5</v>
      </c>
    </row>
    <row r="35" spans="1:22">
      <c r="A35" s="5" t="str">
        <f>IF(P_General!A19="","",P_General!A19)</f>
        <v>D4</v>
      </c>
      <c r="B35" s="5" t="str">
        <f>IF($A35="","",P_General!B19)</f>
        <v>Structuration financière &amp; LGD</v>
      </c>
      <c r="C35" s="34">
        <f>IF($A35="",0,IF(SUMIF($B$44:$B$103,$A35,$G$44:$G$103)&gt;0,ROUND(SUMIF($B$44:$B$103,$A35,$H$44:$H$103)/SUMIF($B$44:$B$103,$A35,$G$44:$G$103)/P_Scale*100,2),0))</f>
        <v>96.0</v>
      </c>
      <c r="D35" s="34">
        <f>IF($A35="",0,P_General!C19)</f>
        <v>0.24</v>
      </c>
      <c r="E35" s="34">
        <f>IF($A35="",0,ROUND(C35*D35,2))</f>
        <v>23.04</v>
      </c>
      <c r="F35" s="34">
        <f>IF($A35="",0,IFERROR(INDEX(P_PhaseTbl,MATCH(Saisie!$C$9,P_PhaseCodes,0),MATCH($A35,P_PhaseHdr,0)+1),0))</f>
        <v>0.3</v>
      </c>
      <c r="G35" s="34">
        <f>ROUND(C35*F35,2)</f>
        <v>28.8</v>
      </c>
    </row>
    <row r="36" spans="1:22">
      <c r="A36" s="5">
        <f>IF(P_General!A20="","",P_General!A20)</f>
        <v/>
      </c>
      <c r="B36" s="5">
        <f>IF($A36="","",P_General!B20)</f>
        <v/>
      </c>
      <c r="C36" s="34">
        <f>IF($A36="",0,IF(SUMIF($B$44:$B$103,$A36,$G$44:$G$103)&gt;0,ROUND(SUMIF($B$44:$B$103,$A36,$H$44:$H$103)/SUMIF($B$44:$B$103,$A36,$G$44:$G$103)/P_Scale*100,2),0))</f>
        <v>0.0</v>
      </c>
      <c r="D36" s="34">
        <f>IF($A36="",0,P_General!C20)</f>
        <v>0.0</v>
      </c>
      <c r="E36" s="34">
        <f>IF($A36="",0,ROUND(C36*D36,2))</f>
        <v>0.0</v>
      </c>
      <c r="F36" s="34">
        <f>IF($A36="",0,IFERROR(INDEX(P_PhaseTbl,MATCH(Saisie!$C$9,P_PhaseCodes,0),MATCH($A36,P_PhaseHdr,0)+1),0))</f>
        <v>0.0</v>
      </c>
      <c r="G36" s="34">
        <f>ROUND(C36*F36,2)</f>
        <v>0.0</v>
      </c>
    </row>
    <row r="37" spans="1:22">
      <c r="A37" s="5">
        <f>IF(P_General!A21="","",P_General!A21)</f>
        <v/>
      </c>
      <c r="B37" s="5">
        <f>IF($A37="","",P_General!B21)</f>
        <v/>
      </c>
      <c r="C37" s="34">
        <f>IF($A37="",0,IF(SUMIF($B$44:$B$103,$A37,$G$44:$G$103)&gt;0,ROUND(SUMIF($B$44:$B$103,$A37,$H$44:$H$103)/SUMIF($B$44:$B$103,$A37,$G$44:$G$103)/P_Scale*100,2),0))</f>
        <v>0.0</v>
      </c>
      <c r="D37" s="34">
        <f>IF($A37="",0,P_General!C21)</f>
        <v>0.0</v>
      </c>
      <c r="E37" s="34">
        <f>IF($A37="",0,ROUND(C37*D37,2))</f>
        <v>0.0</v>
      </c>
      <c r="F37" s="34">
        <f>IF($A37="",0,IFERROR(INDEX(P_PhaseTbl,MATCH(Saisie!$C$9,P_PhaseCodes,0),MATCH($A37,P_PhaseHdr,0)+1),0))</f>
        <v>0.0</v>
      </c>
      <c r="G37" s="34">
        <f>ROUND(C37*F37,2)</f>
        <v>0.0</v>
      </c>
    </row>
    <row r="38" spans="1:22">
      <c r="A38" s="5">
        <f>IF(P_General!A22="","",P_General!A22)</f>
        <v/>
      </c>
      <c r="B38" s="5">
        <f>IF($A38="","",P_General!B22)</f>
        <v/>
      </c>
      <c r="C38" s="34">
        <f>IF($A38="",0,IF(SUMIF($B$44:$B$103,$A38,$G$44:$G$103)&gt;0,ROUND(SUMIF($B$44:$B$103,$A38,$H$44:$H$103)/SUMIF($B$44:$B$103,$A38,$G$44:$G$103)/P_Scale*100,2),0))</f>
        <v>0.0</v>
      </c>
      <c r="D38" s="34">
        <f>IF($A38="",0,P_General!C22)</f>
        <v>0.0</v>
      </c>
      <c r="E38" s="34">
        <f>IF($A38="",0,ROUND(C38*D38,2))</f>
        <v>0.0</v>
      </c>
      <c r="F38" s="34">
        <f>IF($A38="",0,IFERROR(INDEX(P_PhaseTbl,MATCH(Saisie!$C$9,P_PhaseCodes,0),MATCH($A38,P_PhaseHdr,0)+1),0))</f>
        <v>0.0</v>
      </c>
      <c r="G38" s="34">
        <f>ROUND(C38*F38,2)</f>
        <v>0.0</v>
      </c>
    </row>
    <row r="39" spans="1:22">
      <c r="A39" s="5">
        <f>IF(P_General!A23="","",P_General!A23)</f>
        <v/>
      </c>
      <c r="B39" s="5">
        <f>IF($A39="","",P_General!B23)</f>
        <v/>
      </c>
      <c r="C39" s="34">
        <f>IF($A39="",0,IF(SUMIF($B$44:$B$103,$A39,$G$44:$G$103)&gt;0,ROUND(SUMIF($B$44:$B$103,$A39,$H$44:$H$103)/SUMIF($B$44:$B$103,$A39,$G$44:$G$103)/P_Scale*100,2),0))</f>
        <v>0.0</v>
      </c>
      <c r="D39" s="34">
        <f>IF($A39="",0,P_General!C23)</f>
        <v>0.0</v>
      </c>
      <c r="E39" s="34">
        <f>IF($A39="",0,ROUND(C39*D39,2))</f>
        <v>0.0</v>
      </c>
      <c r="F39" s="34">
        <f>IF($A39="",0,IFERROR(INDEX(P_PhaseTbl,MATCH(Saisie!$C$9,P_PhaseCodes,0),MATCH($A39,P_PhaseHdr,0)+1),0))</f>
        <v>0.0</v>
      </c>
      <c r="G39" s="34">
        <f>ROUND(C39*F39,2)</f>
        <v>0.0</v>
      </c>
    </row>
    <row r="41" spans="1:22">
      <c r="A41" s="13" t="s">
        <v>746</v>
      </c>
    </row>
    <row r="42" spans="1:22">
      <c r="A42" s="19" t="s">
        <v>18</v>
      </c>
      <c r="B42" s="19" t="s">
        <v>109</v>
      </c>
      <c r="C42" s="19" t="s">
        <v>241</v>
      </c>
      <c r="D42" s="19" t="s">
        <v>531</v>
      </c>
      <c r="E42" s="19" t="s">
        <v>4</v>
      </c>
      <c r="F42" s="19" t="s">
        <v>747</v>
      </c>
      <c r="G42" s="19" t="s">
        <v>20</v>
      </c>
      <c r="H42" s="19" t="s">
        <v>748</v>
      </c>
      <c r="I42" s="19" t="s">
        <v>749</v>
      </c>
      <c r="J42" s="19" t="s">
        <v>750</v>
      </c>
      <c r="K42" s="19" t="s">
        <v>751</v>
      </c>
      <c r="L42" s="19" t="s">
        <v>752</v>
      </c>
      <c r="M42" s="19" t="s">
        <v>753</v>
      </c>
      <c r="N42" s="19" t="s">
        <v>115</v>
      </c>
      <c r="O42" s="19" t="s">
        <v>110</v>
      </c>
      <c r="P42" s="19" t="s">
        <v>754</v>
      </c>
      <c r="Q42" s="19" t="s">
        <v>755</v>
      </c>
      <c r="R42" s="19" t="s">
        <v>756</v>
      </c>
      <c r="S42" s="19" t="s">
        <v>757</v>
      </c>
      <c r="T42" s="19" t="s">
        <v>758</v>
      </c>
      <c r="U42" s="19" t="s">
        <v>759</v>
      </c>
      <c r="V42" s="19" t="s">
        <v>760</v>
      </c>
    </row>
    <row r="43" spans="1:22">
      <c r="A43" s="5" t="s">
        <v>761</v>
      </c>
      <c r="D43" s="5" t="str">
        <f>P_ExtraKey</f>
        <v>dpd_days</v>
      </c>
      <c r="E43" s="5">
        <f>IF(D43="","",IFERROR(INDEX(In_Retenue,MATCH(D43,In_Cles,0)),""))</f>
        <v>0.0</v>
      </c>
      <c r="J43" s="5" t="b">
        <f>AND(D43&lt;&gt;"",E43="")</f>
        <v>0</v>
      </c>
      <c r="R43" s="5">
        <f>IF(J43,D43,"")</f>
        <v/>
      </c>
      <c r="S43" s="5">
        <f>""</f>
        <v/>
      </c>
      <c r="T43" s="5">
        <f>IF(J43,IFERROR(INDEX(Saisie!$C$13:$C$92,MATCH(D43,In_Cles,0)),D43),"")</f>
        <v/>
      </c>
    </row>
    <row r="44" spans="1:22">
      <c r="A44" s="5" t="str">
        <f>IF(P_Criteres!A5="","",P_Criteres!A5)</f>
        <v>D1C1</v>
      </c>
      <c r="B44" s="5" t="str">
        <f>IF($A44="","",P_Criteres!B5)</f>
        <v>D1</v>
      </c>
      <c r="C44" s="5" t="str">
        <f>IF($A44="","",P_Criteres!C5)</f>
        <v>Projets similaires livrés (5 ans)</v>
      </c>
      <c r="D44" s="5" t="str">
        <f>IF($A44="","",P_Criteres!F5)</f>
        <v>promoter_completed_projects</v>
      </c>
      <c r="E44" s="5">
        <f>IF($A44="","",IFERROR(INDEX(In_Retenue,MATCH($D44,In_Cles,0)),""))</f>
        <v>8.0</v>
      </c>
      <c r="F44" s="34">
        <f>IF($A44="",0,ROUND(MIN(P_Scale,MAX(0,IF($L44=0,$K44,$M44))),2))</f>
        <v>10.0</v>
      </c>
      <c r="G44" s="34">
        <f>IF($A44="",0,P_Criteres!E5)</f>
        <v>0.2</v>
      </c>
      <c r="H44" s="34">
        <f>ROUND(F44*G44,2)</f>
        <v>2.0</v>
      </c>
      <c r="I44" s="5" t="b">
        <f>IF($A44="",FALSE,AND(P_Criteres!G5="Oui",ISNUMBER(P_Criteres!H5),F44&lt;=N(P_Criteres!H5)))</f>
        <v>0</v>
      </c>
      <c r="J44" s="5" t="b">
        <f>IF($A44="",FALSE,AND(OR(P_Criteres!G5="Oui",P_Criteres!K5="Oui"),$E44=""))</f>
        <v>0</v>
      </c>
      <c r="K44" s="34">
        <f t="array" ref="K44">IF($A44="",0,MIN(IF(P_Baremes!$A$5:$A$400=$A44,P_Baremes!$H$5:$H$400)))</f>
        <v>1.0</v>
      </c>
      <c r="L44" s="34">
        <f>IF($A44="",0,IF($O44="NUM",IF(ISNUMBER($E44),SUMPRODUCT((P_Baremes!$A$5:$A$400=$A44)*(P_Baremes!$B$5:$B$400="PLAGE")*(((P_Baremes!$D$5:$D$400="")+($E44&gt;=P_Baremes!$D$5:$D$400))&gt;0)*(((P_Baremes!$E$5:$E$400="")+($E44&lt;P_Baremes!$E$5:$E$400))&gt;0)),0),SUMPRODUCT((P_Baremes!$A$5:$A$400=$A44)*(P_Baremes!$B$5:$B$400="MODALITE")*(P_Baremes!$C$5:$C$400=$E44))))</f>
        <v>1.0</v>
      </c>
      <c r="M44" s="34">
        <f>IF($A44="",0,IF($L44=0,0,IF($O44="NUM",SUMPRODUCT((P_Baremes!$A$5:$A$400=$A44)*(P_Baremes!$B$5:$B$400="PLAGE")*(((P_Baremes!$D$5:$D$400="")+($E44&gt;=P_Baremes!$D$5:$D$400))&gt;0)*(((P_Baremes!$E$5:$E$400="")+($E44&lt;P_Baremes!$E$5:$E$400))&gt;0)*P_Baremes!$H$5:$H$400),SUMPRODUCT((P_Baremes!$A$5:$A$400=$A44)*(P_Baremes!$B$5:$B$400="MODALITE")*(P_Baremes!$C$5:$C$400=$E44)*P_Baremes!$H$5:$H$400))))</f>
        <v>10.0</v>
      </c>
      <c r="N44" s="5" t="str">
        <f>IF($A44="","",P_Criteres!J5)</f>
        <v>ECONOMIC</v>
      </c>
      <c r="O44" s="5" t="str">
        <f>IF($A44="","",P_Criteres!D5)</f>
        <v>NUM</v>
      </c>
      <c r="P44" s="34">
        <f>IF($A44="",0,IFERROR(INDEX(P_DomPoids,MATCH($B44,P_DomCodes,0)),0))</f>
        <v>0.25</v>
      </c>
      <c r="Q44" s="34">
        <f>P44*G44</f>
        <v>0.05</v>
      </c>
      <c r="R44" s="5">
        <f>IF(J44,IF(ISNUMBER(SEARCH(","&amp;D44&amp;",",","&amp;R43&amp;",")),R43,R43&amp;IF(R43="","",",")&amp;D44),R43)</f>
        <v/>
      </c>
      <c r="S44" s="5">
        <f>IF(I44,S43&amp;IF(S43="","","; ")&amp;"Lever la condition « "&amp;C44&amp;" » avant "&amp;SUBSTITUTE(LOWER(IF(P_Criteres!I5="","TIRAGE",P_Criteres!I5)),"etude","étude"),S43)</f>
        <v/>
      </c>
      <c r="T44" s="5">
        <f>IF(AND(J44,NOT(ISNUMBER(SEARCH(","&amp;D44&amp;",",","&amp;R43&amp;",")))),T43&amp;IF(T43="","",", ")&amp;IFERROR(INDEX(Saisie!$C$13:$C$92,MATCH(D44,In_Cles,0)),D44),T43)</f>
        <v/>
      </c>
      <c r="U44" s="48">
        <f>IF(OR($A44="",N(G44)&lt;=0),"",F44+ROW()/1000000)</f>
        <v>10.000044</v>
      </c>
      <c r="V44" s="5">
        <f>IF($A44="","",IF($E44="","(non renseignée)",IF($O44="QUAL",IFERROR(INDEX(P_Baremes!$F$5:$F$400,SUMPRODUCT(MAX((P_Baremes!$A$5:$A$400=$A44)*(P_Baremes!$B$5:$B$400="MODALITE")*(P_Baremes!$C$5:$C$400=$E44)*(ROW(P_Baremes!$A$5:$A$400)-4)))),$E44),$E44)))</f>
        <v>8.0</v>
      </c>
    </row>
    <row r="45" spans="1:22">
      <c r="A45" s="5" t="str">
        <f>IF(P_Criteres!A6="","",P_Criteres!A6)</f>
        <v>D1C2</v>
      </c>
      <c r="B45" s="5" t="str">
        <f>IF($A45="","",P_Criteres!B6)</f>
        <v>D1</v>
      </c>
      <c r="C45" s="5" t="str">
        <f>IF($A45="","",P_Criteres!C6)</f>
        <v>Gearing promoteur (dettes nettes / FP)</v>
      </c>
      <c r="D45" s="5" t="str">
        <f>IF($A45="","",P_Criteres!F6)</f>
        <v>promoter_gearing</v>
      </c>
      <c r="E45" s="5">
        <f>IF($A45="","",IFERROR(INDEX(In_Retenue,MATCH($D45,In_Cles,0)),""))</f>
        <v>85.0</v>
      </c>
      <c r="F45" s="34">
        <f>IF($A45="",0,ROUND(MIN(P_Scale,MAX(0,IF($L45=0,$K45,$M45))),2))</f>
        <v>10.0</v>
      </c>
      <c r="G45" s="34">
        <f>IF($A45="",0,P_Criteres!E6)</f>
        <v>0.25</v>
      </c>
      <c r="H45" s="34">
        <f>ROUND(F45*G45,2)</f>
        <v>2.5</v>
      </c>
      <c r="I45" s="5" t="b">
        <f>IF($A45="",FALSE,AND(P_Criteres!G6="Oui",ISNUMBER(P_Criteres!H6),F45&lt;=N(P_Criteres!H6)))</f>
        <v>0</v>
      </c>
      <c r="J45" s="5" t="b">
        <f>IF($A45="",FALSE,AND(OR(P_Criteres!G6="Oui",P_Criteres!K6="Oui"),$E45=""))</f>
        <v>0</v>
      </c>
      <c r="K45" s="34">
        <f t="array" ref="K45">IF($A45="",0,MIN(IF(P_Baremes!$A$5:$A$400=$A45,P_Baremes!$H$5:$H$400)))</f>
        <v>1.0</v>
      </c>
      <c r="L45" s="34">
        <f>IF($A45="",0,IF($O45="NUM",IF(ISNUMBER($E45),SUMPRODUCT((P_Baremes!$A$5:$A$400=$A45)*(P_Baremes!$B$5:$B$400="PLAGE")*(((P_Baremes!$D$5:$D$400="")+($E45&gt;=P_Baremes!$D$5:$D$400))&gt;0)*(((P_Baremes!$E$5:$E$400="")+($E45&lt;P_Baremes!$E$5:$E$400))&gt;0)),0),SUMPRODUCT((P_Baremes!$A$5:$A$400=$A45)*(P_Baremes!$B$5:$B$400="MODALITE")*(P_Baremes!$C$5:$C$400=$E45))))</f>
        <v>1.0</v>
      </c>
      <c r="M45" s="34">
        <f>IF($A45="",0,IF($L45=0,0,IF($O45="NUM",SUMPRODUCT((P_Baremes!$A$5:$A$400=$A45)*(P_Baremes!$B$5:$B$400="PLAGE")*(((P_Baremes!$D$5:$D$400="")+($E45&gt;=P_Baremes!$D$5:$D$400))&gt;0)*(((P_Baremes!$E$5:$E$400="")+($E45&lt;P_Baremes!$E$5:$E$400))&gt;0)*P_Baremes!$H$5:$H$400),SUMPRODUCT((P_Baremes!$A$5:$A$400=$A45)*(P_Baremes!$B$5:$B$400="MODALITE")*(P_Baremes!$C$5:$C$400=$E45)*P_Baremes!$H$5:$H$400))))</f>
        <v>10.0</v>
      </c>
      <c r="N45" s="5" t="str">
        <f>IF($A45="","",P_Criteres!J6)</f>
        <v>ECONOMIC</v>
      </c>
      <c r="O45" s="5" t="str">
        <f>IF($A45="","",P_Criteres!D6)</f>
        <v>NUM</v>
      </c>
      <c r="P45" s="34">
        <f>IF($A45="",0,IFERROR(INDEX(P_DomPoids,MATCH($B45,P_DomCodes,0)),0))</f>
        <v>0.25</v>
      </c>
      <c r="Q45" s="34">
        <f>P45*G45</f>
        <v>0.0625</v>
      </c>
      <c r="R45" s="5">
        <f>IF(J45,IF(ISNUMBER(SEARCH(","&amp;D45&amp;",",","&amp;R44&amp;",")),R44,R44&amp;IF(R44="","",",")&amp;D45),R44)</f>
        <v/>
      </c>
      <c r="S45" s="5">
        <f>IF(I45,S44&amp;IF(S44="","","; ")&amp;"Lever la condition « "&amp;C45&amp;" » avant "&amp;SUBSTITUTE(LOWER(IF(P_Criteres!I6="","TIRAGE",P_Criteres!I6)),"etude","étude"),S44)</f>
        <v/>
      </c>
      <c r="T45" s="5">
        <f>IF(AND(J45,NOT(ISNUMBER(SEARCH(","&amp;D45&amp;",",","&amp;R44&amp;",")))),T44&amp;IF(T44="","",", ")&amp;IFERROR(INDEX(Saisie!$C$13:$C$92,MATCH(D45,In_Cles,0)),D45),T44)</f>
        <v/>
      </c>
      <c r="U45" s="48">
        <f>IF(OR($A45="",N(G45)&lt;=0),"",F45+ROW()/1000000)</f>
        <v>10.000045</v>
      </c>
      <c r="V45" s="5">
        <f>IF($A45="","",IF($E45="","(non renseignée)",IF($O45="QUAL",IFERROR(INDEX(P_Baremes!$F$5:$F$400,SUMPRODUCT(MAX((P_Baremes!$A$5:$A$400=$A45)*(P_Baremes!$B$5:$B$400="MODALITE")*(P_Baremes!$C$5:$C$400=$E45)*(ROW(P_Baremes!$A$5:$A$400)-4)))),$E45),$E45)))</f>
        <v>85.0</v>
      </c>
    </row>
    <row r="46" spans="1:22">
      <c r="A46" s="5" t="str">
        <f>IF(P_Criteres!A7="","",P_Criteres!A7)</f>
        <v>D1C3</v>
      </c>
      <c r="B46" s="5" t="str">
        <f>IF($A46="","",P_Criteres!B7)</f>
        <v>D1</v>
      </c>
      <c r="C46" s="5" t="str">
        <f>IF($A46="","",P_Criteres!C7)</f>
        <v>Gouvernance &amp; structure juridique</v>
      </c>
      <c r="D46" s="5" t="str">
        <f>IF($A46="","",P_Criteres!F7)</f>
        <v>governance_quality</v>
      </c>
      <c r="E46" s="5" t="str">
        <f>IF($A46="","",IFERROR(INDEX(In_Retenue,MATCH($D46,In_Cles,0)),""))</f>
        <v>claire</v>
      </c>
      <c r="F46" s="34">
        <f>IF($A46="",0,ROUND(MIN(P_Scale,MAX(0,IF($L46=0,$K46,$M46))),2))</f>
        <v>10.0</v>
      </c>
      <c r="G46" s="34">
        <f>IF($A46="",0,P_Criteres!E7)</f>
        <v>0.15</v>
      </c>
      <c r="H46" s="34">
        <f>ROUND(F46*G46,2)</f>
        <v>1.5</v>
      </c>
      <c r="I46" s="5" t="b">
        <f>IF($A46="",FALSE,AND(P_Criteres!G7="Oui",ISNUMBER(P_Criteres!H7),F46&lt;=N(P_Criteres!H7)))</f>
        <v>0</v>
      </c>
      <c r="J46" s="5" t="b">
        <f>IF($A46="",FALSE,AND(OR(P_Criteres!G7="Oui",P_Criteres!K7="Oui"),$E46=""))</f>
        <v>0</v>
      </c>
      <c r="K46" s="34">
        <f t="array" ref="K46">IF($A46="",0,MIN(IF(P_Baremes!$A$5:$A$400=$A46,P_Baremes!$H$5:$H$400)))</f>
        <v>1.0</v>
      </c>
      <c r="L46" s="34">
        <f>IF($A46="",0,IF($O46="NUM",IF(ISNUMBER($E46),SUMPRODUCT((P_Baremes!$A$5:$A$400=$A46)*(P_Baremes!$B$5:$B$400="PLAGE")*(((P_Baremes!$D$5:$D$400="")+($E46&gt;=P_Baremes!$D$5:$D$400))&gt;0)*(((P_Baremes!$E$5:$E$400="")+($E46&lt;P_Baremes!$E$5:$E$400))&gt;0)),0),SUMPRODUCT((P_Baremes!$A$5:$A$400=$A46)*(P_Baremes!$B$5:$B$400="MODALITE")*(P_Baremes!$C$5:$C$400=$E46))))</f>
        <v>1.0</v>
      </c>
      <c r="M46" s="34">
        <f>IF($A46="",0,IF($L46=0,0,IF($O46="NUM",SUMPRODUCT((P_Baremes!$A$5:$A$400=$A46)*(P_Baremes!$B$5:$B$400="PLAGE")*(((P_Baremes!$D$5:$D$400="")+($E46&gt;=P_Baremes!$D$5:$D$400))&gt;0)*(((P_Baremes!$E$5:$E$400="")+($E46&lt;P_Baremes!$E$5:$E$400))&gt;0)*P_Baremes!$H$5:$H$400),SUMPRODUCT((P_Baremes!$A$5:$A$400=$A46)*(P_Baremes!$B$5:$B$400="MODALITE")*(P_Baremes!$C$5:$C$400=$E46)*P_Baremes!$H$5:$H$400))))</f>
        <v>10.0</v>
      </c>
      <c r="N46" s="5" t="str">
        <f>IF($A46="","",P_Criteres!J7)</f>
        <v>ECONOMIC</v>
      </c>
      <c r="O46" s="5" t="str">
        <f>IF($A46="","",P_Criteres!D7)</f>
        <v>QUAL</v>
      </c>
      <c r="P46" s="34">
        <f>IF($A46="",0,IFERROR(INDEX(P_DomPoids,MATCH($B46,P_DomCodes,0)),0))</f>
        <v>0.25</v>
      </c>
      <c r="Q46" s="34">
        <f>P46*G46</f>
        <v>0.0375</v>
      </c>
      <c r="R46" s="5">
        <f>IF(J46,IF(ISNUMBER(SEARCH(","&amp;D46&amp;",",","&amp;R45&amp;",")),R45,R45&amp;IF(R45="","",",")&amp;D46),R45)</f>
        <v/>
      </c>
      <c r="S46" s="5">
        <f>IF(I46,S45&amp;IF(S45="","","; ")&amp;"Lever la condition « "&amp;C46&amp;" » avant "&amp;SUBSTITUTE(LOWER(IF(P_Criteres!I7="","TIRAGE",P_Criteres!I7)),"etude","étude"),S45)</f>
        <v/>
      </c>
      <c r="T46" s="5">
        <f>IF(AND(J46,NOT(ISNUMBER(SEARCH(","&amp;D46&amp;",",","&amp;R45&amp;",")))),T45&amp;IF(T45="","",", ")&amp;IFERROR(INDEX(Saisie!$C$13:$C$92,MATCH(D46,In_Cles,0)),D46),T45)</f>
        <v/>
      </c>
      <c r="U46" s="48">
        <f>IF(OR($A46="",N(G46)&lt;=0),"",F46+ROW()/1000000)</f>
        <v>10.000046</v>
      </c>
      <c r="V46" s="5" t="str">
        <f>IF($A46="","",IF($E46="","(non renseignée)",IF($O46="QUAL",IFERROR(INDEX(P_Baremes!$F$5:$F$400,SUMPRODUCT(MAX((P_Baremes!$A$5:$A$400=$A46)*(P_Baremes!$B$5:$B$400="MODALITE")*(P_Baremes!$C$5:$C$400=$E46)*(ROW(P_Baremes!$A$5:$A$400)-4)))),$E46),$E46)))</f>
        <v>Claire / structurée</v>
      </c>
    </row>
    <row r="47" spans="1:22">
      <c r="A47" s="5" t="str">
        <f>IF(P_Criteres!A8="","",P_Criteres!A8)</f>
        <v>D1C4</v>
      </c>
      <c r="B47" s="5" t="str">
        <f>IF($A47="","",P_Criteres!B8)</f>
        <v>D1</v>
      </c>
      <c r="C47" s="5" t="str">
        <f>IF($A47="","",P_Criteres!C8)</f>
        <v>Concentration mono-projet (CA projet / CA total)</v>
      </c>
      <c r="D47" s="5" t="str">
        <f>IF($A47="","",P_Criteres!F8)</f>
        <v>mono_project_concentration</v>
      </c>
      <c r="E47" s="5">
        <f>IF($A47="","",IFERROR(INDEX(In_Retenue,MATCH($D47,In_Cles,0)),""))</f>
        <v>35.0</v>
      </c>
      <c r="F47" s="34">
        <f>IF($A47="",0,ROUND(MIN(P_Scale,MAX(0,IF($L47=0,$K47,$M47))),2))</f>
        <v>10.0</v>
      </c>
      <c r="G47" s="34">
        <f>IF($A47="",0,P_Criteres!E8)</f>
        <v>0.15</v>
      </c>
      <c r="H47" s="34">
        <f>ROUND(F47*G47,2)</f>
        <v>1.5</v>
      </c>
      <c r="I47" s="5" t="b">
        <f>IF($A47="",FALSE,AND(P_Criteres!G8="Oui",ISNUMBER(P_Criteres!H8),F47&lt;=N(P_Criteres!H8)))</f>
        <v>0</v>
      </c>
      <c r="J47" s="5" t="b">
        <f>IF($A47="",FALSE,AND(OR(P_Criteres!G8="Oui",P_Criteres!K8="Oui"),$E47=""))</f>
        <v>0</v>
      </c>
      <c r="K47" s="34">
        <f t="array" ref="K47">IF($A47="",0,MIN(IF(P_Baremes!$A$5:$A$400=$A47,P_Baremes!$H$5:$H$400)))</f>
        <v>1.0</v>
      </c>
      <c r="L47" s="34">
        <f>IF($A47="",0,IF($O47="NUM",IF(ISNUMBER($E47),SUMPRODUCT((P_Baremes!$A$5:$A$400=$A47)*(P_Baremes!$B$5:$B$400="PLAGE")*(((P_Baremes!$D$5:$D$400="")+($E47&gt;=P_Baremes!$D$5:$D$400))&gt;0)*(((P_Baremes!$E$5:$E$400="")+($E47&lt;P_Baremes!$E$5:$E$400))&gt;0)),0),SUMPRODUCT((P_Baremes!$A$5:$A$400=$A47)*(P_Baremes!$B$5:$B$400="MODALITE")*(P_Baremes!$C$5:$C$400=$E47))))</f>
        <v>1.0</v>
      </c>
      <c r="M47" s="34">
        <f>IF($A47="",0,IF($L47=0,0,IF($O47="NUM",SUMPRODUCT((P_Baremes!$A$5:$A$400=$A47)*(P_Baremes!$B$5:$B$400="PLAGE")*(((P_Baremes!$D$5:$D$400="")+($E47&gt;=P_Baremes!$D$5:$D$400))&gt;0)*(((P_Baremes!$E$5:$E$400="")+($E47&lt;P_Baremes!$E$5:$E$400))&gt;0)*P_Baremes!$H$5:$H$400),SUMPRODUCT((P_Baremes!$A$5:$A$400=$A47)*(P_Baremes!$B$5:$B$400="MODALITE")*(P_Baremes!$C$5:$C$400=$E47)*P_Baremes!$H$5:$H$400))))</f>
        <v>10.0</v>
      </c>
      <c r="N47" s="5" t="str">
        <f>IF($A47="","",P_Criteres!J8)</f>
        <v>ECONOMIC</v>
      </c>
      <c r="O47" s="5" t="str">
        <f>IF($A47="","",P_Criteres!D8)</f>
        <v>NUM</v>
      </c>
      <c r="P47" s="34">
        <f>IF($A47="",0,IFERROR(INDEX(P_DomPoids,MATCH($B47,P_DomCodes,0)),0))</f>
        <v>0.25</v>
      </c>
      <c r="Q47" s="34">
        <f>P47*G47</f>
        <v>0.0375</v>
      </c>
      <c r="R47" s="5">
        <f>IF(J47,IF(ISNUMBER(SEARCH(","&amp;D47&amp;",",","&amp;R46&amp;",")),R46,R46&amp;IF(R46="","",",")&amp;D47),R46)</f>
        <v/>
      </c>
      <c r="S47" s="5">
        <f>IF(I47,S46&amp;IF(S46="","","; ")&amp;"Lever la condition « "&amp;C47&amp;" » avant "&amp;SUBSTITUTE(LOWER(IF(P_Criteres!I8="","TIRAGE",P_Criteres!I8)),"etude","étude"),S46)</f>
        <v/>
      </c>
      <c r="T47" s="5">
        <f>IF(AND(J47,NOT(ISNUMBER(SEARCH(","&amp;D47&amp;",",","&amp;R46&amp;",")))),T46&amp;IF(T46="","",", ")&amp;IFERROR(INDEX(Saisie!$C$13:$C$92,MATCH(D47,In_Cles,0)),D47),T46)</f>
        <v/>
      </c>
      <c r="U47" s="48">
        <f>IF(OR($A47="",N(G47)&lt;=0),"",F47+ROW()/1000000)</f>
        <v>10.000047</v>
      </c>
      <c r="V47" s="5">
        <f>IF($A47="","",IF($E47="","(non renseignée)",IF($O47="QUAL",IFERROR(INDEX(P_Baremes!$F$5:$F$400,SUMPRODUCT(MAX((P_Baremes!$A$5:$A$400=$A47)*(P_Baremes!$B$5:$B$400="MODALITE")*(P_Baremes!$C$5:$C$400=$E47)*(ROW(P_Baremes!$A$5:$A$400)-4)))),$E47),$E47)))</f>
        <v>35.0</v>
      </c>
    </row>
    <row r="48" spans="1:22">
      <c r="A48" s="5" t="str">
        <f>IF(P_Criteres!A9="","",P_Criteres!A9)</f>
        <v>D1C5</v>
      </c>
      <c r="B48" s="5" t="str">
        <f>IF($A48="","",P_Criteres!B9)</f>
        <v>D1</v>
      </c>
      <c r="C48" s="5" t="str">
        <f>IF($A48="","",P_Criteres!C9)</f>
        <v>Typologie promoteur</v>
      </c>
      <c r="D48" s="5" t="str">
        <f>IF($A48="","",P_Criteres!F9)</f>
        <v>promoter_type</v>
      </c>
      <c r="E48" s="5" t="str">
        <f>IF($A48="","",IFERROR(INDEX(In_Retenue,MATCH($D48,In_Cles,0)),""))</f>
        <v>structure</v>
      </c>
      <c r="F48" s="34">
        <f>IF($A48="",0,ROUND(MIN(P_Scale,MAX(0,IF($L48=0,$K48,$M48))),2))</f>
        <v>10.0</v>
      </c>
      <c r="G48" s="34">
        <f>IF($A48="",0,P_Criteres!E9)</f>
        <v>0.1</v>
      </c>
      <c r="H48" s="34">
        <f>ROUND(F48*G48,2)</f>
        <v>1.0</v>
      </c>
      <c r="I48" s="5" t="b">
        <f>IF($A48="",FALSE,AND(P_Criteres!G9="Oui",ISNUMBER(P_Criteres!H9),F48&lt;=N(P_Criteres!H9)))</f>
        <v>0</v>
      </c>
      <c r="J48" s="5" t="b">
        <f>IF($A48="",FALSE,AND(OR(P_Criteres!G9="Oui",P_Criteres!K9="Oui"),$E48=""))</f>
        <v>0</v>
      </c>
      <c r="K48" s="34">
        <f t="array" ref="K48">IF($A48="",0,MIN(IF(P_Baremes!$A$5:$A$400=$A48,P_Baremes!$H$5:$H$400)))</f>
        <v>2.0</v>
      </c>
      <c r="L48" s="34">
        <f>IF($A48="",0,IF($O48="NUM",IF(ISNUMBER($E48),SUMPRODUCT((P_Baremes!$A$5:$A$400=$A48)*(P_Baremes!$B$5:$B$400="PLAGE")*(((P_Baremes!$D$5:$D$400="")+($E48&gt;=P_Baremes!$D$5:$D$400))&gt;0)*(((P_Baremes!$E$5:$E$400="")+($E48&lt;P_Baremes!$E$5:$E$400))&gt;0)),0),SUMPRODUCT((P_Baremes!$A$5:$A$400=$A48)*(P_Baremes!$B$5:$B$400="MODALITE")*(P_Baremes!$C$5:$C$400=$E48))))</f>
        <v>1.0</v>
      </c>
      <c r="M48" s="34">
        <f>IF($A48="",0,IF($L48=0,0,IF($O48="NUM",SUMPRODUCT((P_Baremes!$A$5:$A$400=$A48)*(P_Baremes!$B$5:$B$400="PLAGE")*(((P_Baremes!$D$5:$D$400="")+($E48&gt;=P_Baremes!$D$5:$D$400))&gt;0)*(((P_Baremes!$E$5:$E$400="")+($E48&lt;P_Baremes!$E$5:$E$400))&gt;0)*P_Baremes!$H$5:$H$400),SUMPRODUCT((P_Baremes!$A$5:$A$400=$A48)*(P_Baremes!$B$5:$B$400="MODALITE")*(P_Baremes!$C$5:$C$400=$E48)*P_Baremes!$H$5:$H$400))))</f>
        <v>10.0</v>
      </c>
      <c r="N48" s="5" t="str">
        <f>IF($A48="","",P_Criteres!J9)</f>
        <v>ECONOMIC</v>
      </c>
      <c r="O48" s="5" t="str">
        <f>IF($A48="","",P_Criteres!D9)</f>
        <v>QUAL</v>
      </c>
      <c r="P48" s="34">
        <f>IF($A48="",0,IFERROR(INDEX(P_DomPoids,MATCH($B48,P_DomCodes,0)),0))</f>
        <v>0.25</v>
      </c>
      <c r="Q48" s="34">
        <f>P48*G48</f>
        <v>0.025</v>
      </c>
      <c r="R48" s="5">
        <f>IF(J48,IF(ISNUMBER(SEARCH(","&amp;D48&amp;",",","&amp;R47&amp;",")),R47,R47&amp;IF(R47="","",",")&amp;D48),R47)</f>
        <v/>
      </c>
      <c r="S48" s="5">
        <f>IF(I48,S47&amp;IF(S47="","","; ")&amp;"Lever la condition « "&amp;C48&amp;" » avant "&amp;SUBSTITUTE(LOWER(IF(P_Criteres!I9="","TIRAGE",P_Criteres!I9)),"etude","étude"),S47)</f>
        <v/>
      </c>
      <c r="T48" s="5">
        <f>IF(AND(J48,NOT(ISNUMBER(SEARCH(","&amp;D48&amp;",",","&amp;R47&amp;",")))),T47&amp;IF(T47="","",", ")&amp;IFERROR(INDEX(Saisie!$C$13:$C$92,MATCH(D48,In_Cles,0)),D48),T47)</f>
        <v/>
      </c>
      <c r="U48" s="48">
        <f>IF(OR($A48="",N(G48)&lt;=0),"",F48+ROW()/1000000)</f>
        <v>10.000048</v>
      </c>
      <c r="V48" s="5" t="str">
        <f>IF($A48="","",IF($E48="","(non renseignée)",IF($O48="QUAL",IFERROR(INDEX(P_Baremes!$F$5:$F$400,SUMPRODUCT(MAX((P_Baremes!$A$5:$A$400=$A48)*(P_Baremes!$B$5:$B$400="MODALITE")*(P_Baremes!$C$5:$C$400=$E48)*(ROW(P_Baremes!$A$5:$A$400)-4)))),$E48),$E48)))</f>
        <v>Structuré</v>
      </c>
    </row>
    <row r="49" spans="1:22">
      <c r="A49" s="5" t="str">
        <f>IF(P_Criteres!A10="","",P_Criteres!A10)</f>
        <v>D1C6</v>
      </c>
      <c r="B49" s="5" t="str">
        <f>IF($A49="","",P_Criteres!B10)</f>
        <v>D1</v>
      </c>
      <c r="C49" s="5" t="str">
        <f>IF($A49="","",P_Criteres!C10)</f>
        <v>Apport effectif (injecté / prévu)</v>
      </c>
      <c r="D49" s="5" t="str">
        <f>IF($A49="","",P_Criteres!F10)</f>
        <v>equity_injected_ratio</v>
      </c>
      <c r="E49" s="5">
        <f>IF($A49="","",IFERROR(INDEX(In_Retenue,MATCH($D49,In_Cles,0)),""))</f>
        <v>100.0</v>
      </c>
      <c r="F49" s="34">
        <f>IF($A49="",0,ROUND(MIN(P_Scale,MAX(0,IF($L49=0,$K49,$M49))),2))</f>
        <v>10.0</v>
      </c>
      <c r="G49" s="34">
        <f>IF($A49="",0,P_Criteres!E10)</f>
        <v>0.15</v>
      </c>
      <c r="H49" s="34">
        <f>ROUND(F49*G49,2)</f>
        <v>1.5</v>
      </c>
      <c r="I49" s="5" t="b">
        <f>IF($A49="",FALSE,AND(P_Criteres!G10="Oui",ISNUMBER(P_Criteres!H10),F49&lt;=N(P_Criteres!H10)))</f>
        <v>0</v>
      </c>
      <c r="J49" s="5" t="b">
        <f>IF($A49="",FALSE,AND(OR(P_Criteres!G10="Oui",P_Criteres!K10="Oui"),$E49=""))</f>
        <v>0</v>
      </c>
      <c r="K49" s="34">
        <f t="array" ref="K49">IF($A49="",0,MIN(IF(P_Baremes!$A$5:$A$400=$A49,P_Baremes!$H$5:$H$400)))</f>
        <v>1.0</v>
      </c>
      <c r="L49" s="34">
        <f>IF($A49="",0,IF($O49="NUM",IF(ISNUMBER($E49),SUMPRODUCT((P_Baremes!$A$5:$A$400=$A49)*(P_Baremes!$B$5:$B$400="PLAGE")*(((P_Baremes!$D$5:$D$400="")+($E49&gt;=P_Baremes!$D$5:$D$400))&gt;0)*(((P_Baremes!$E$5:$E$400="")+($E49&lt;P_Baremes!$E$5:$E$400))&gt;0)),0),SUMPRODUCT((P_Baremes!$A$5:$A$400=$A49)*(P_Baremes!$B$5:$B$400="MODALITE")*(P_Baremes!$C$5:$C$400=$E49))))</f>
        <v>1.0</v>
      </c>
      <c r="M49" s="34">
        <f>IF($A49="",0,IF($L49=0,0,IF($O49="NUM",SUMPRODUCT((P_Baremes!$A$5:$A$400=$A49)*(P_Baremes!$B$5:$B$400="PLAGE")*(((P_Baremes!$D$5:$D$400="")+($E49&gt;=P_Baremes!$D$5:$D$400))&gt;0)*(((P_Baremes!$E$5:$E$400="")+($E49&lt;P_Baremes!$E$5:$E$400))&gt;0)*P_Baremes!$H$5:$H$400),SUMPRODUCT((P_Baremes!$A$5:$A$400=$A49)*(P_Baremes!$B$5:$B$400="MODALITE")*(P_Baremes!$C$5:$C$400=$E49)*P_Baremes!$H$5:$H$400))))</f>
        <v>10.0</v>
      </c>
      <c r="N49" s="5" t="str">
        <f>IF($A49="","",P_Criteres!J10)</f>
        <v>ECONOMIC</v>
      </c>
      <c r="O49" s="5" t="str">
        <f>IF($A49="","",P_Criteres!D10)</f>
        <v>NUM</v>
      </c>
      <c r="P49" s="34">
        <f>IF($A49="",0,IFERROR(INDEX(P_DomPoids,MATCH($B49,P_DomCodes,0)),0))</f>
        <v>0.25</v>
      </c>
      <c r="Q49" s="34">
        <f>P49*G49</f>
        <v>0.0375</v>
      </c>
      <c r="R49" s="5">
        <f>IF(J49,IF(ISNUMBER(SEARCH(","&amp;D49&amp;",",","&amp;R48&amp;",")),R48,R48&amp;IF(R48="","",",")&amp;D49),R48)</f>
        <v/>
      </c>
      <c r="S49" s="5">
        <f>IF(I49,S48&amp;IF(S48="","","; ")&amp;"Lever la condition « "&amp;C49&amp;" » avant "&amp;SUBSTITUTE(LOWER(IF(P_Criteres!I10="","TIRAGE",P_Criteres!I10)),"etude","étude"),S48)</f>
        <v/>
      </c>
      <c r="T49" s="5">
        <f>IF(AND(J49,NOT(ISNUMBER(SEARCH(","&amp;D49&amp;",",","&amp;R48&amp;",")))),T48&amp;IF(T48="","",", ")&amp;IFERROR(INDEX(Saisie!$C$13:$C$92,MATCH(D49,In_Cles,0)),D49),T48)</f>
        <v/>
      </c>
      <c r="U49" s="48">
        <f>IF(OR($A49="",N(G49)&lt;=0),"",F49+ROW()/1000000)</f>
        <v>10.000049</v>
      </c>
      <c r="V49" s="5">
        <f>IF($A49="","",IF($E49="","(non renseignée)",IF($O49="QUAL",IFERROR(INDEX(P_Baremes!$F$5:$F$400,SUMPRODUCT(MAX((P_Baremes!$A$5:$A$400=$A49)*(P_Baremes!$B$5:$B$400="MODALITE")*(P_Baremes!$C$5:$C$400=$E49)*(ROW(P_Baremes!$A$5:$A$400)-4)))),$E49),$E49)))</f>
        <v>100.0</v>
      </c>
    </row>
    <row r="50" spans="1:22">
      <c r="A50" s="5" t="str">
        <f>IF(P_Criteres!A11="","",P_Criteres!A11)</f>
        <v>D2C1</v>
      </c>
      <c r="B50" s="5" t="str">
        <f>IF($A50="","",P_Criteres!B11)</f>
        <v>D2</v>
      </c>
      <c r="C50" s="5" t="str">
        <f>IF($A50="","",P_Criteres!C11)</f>
        <v>Foncier &amp; autorisations</v>
      </c>
      <c r="D50" s="5" t="str">
        <f>IF($A50="","",P_Criteres!F11)</f>
        <v>land_permits_status</v>
      </c>
      <c r="E50" s="5" t="str">
        <f>IF($A50="","",IFERROR(INDEX(In_Retenue,MATCH($D50,In_Cles,0)),""))</f>
        <v>definitives</v>
      </c>
      <c r="F50" s="34">
        <f>IF($A50="",0,ROUND(MIN(P_Scale,MAX(0,IF($L50=0,$K50,$M50))),2))</f>
        <v>10.0</v>
      </c>
      <c r="G50" s="34">
        <f>IF($A50="",0,P_Criteres!E11)</f>
        <v>0.1</v>
      </c>
      <c r="H50" s="34">
        <f>ROUND(F50*G50,2)</f>
        <v>1.0</v>
      </c>
      <c r="I50" s="5" t="b">
        <f>IF($A50="",FALSE,AND(P_Criteres!G11="Oui",ISNUMBER(P_Criteres!H11),F50&lt;=N(P_Criteres!H11)))</f>
        <v>0</v>
      </c>
      <c r="J50" s="5" t="b">
        <f>IF($A50="",FALSE,AND(OR(P_Criteres!G11="Oui",P_Criteres!K11="Oui"),$E50=""))</f>
        <v>0</v>
      </c>
      <c r="K50" s="34">
        <f t="array" ref="K50">IF($A50="",0,MIN(IF(P_Baremes!$A$5:$A$400=$A50,P_Baremes!$H$5:$H$400)))</f>
        <v>1.0</v>
      </c>
      <c r="L50" s="34">
        <f>IF($A50="",0,IF($O50="NUM",IF(ISNUMBER($E50),SUMPRODUCT((P_Baremes!$A$5:$A$400=$A50)*(P_Baremes!$B$5:$B$400="PLAGE")*(((P_Baremes!$D$5:$D$400="")+($E50&gt;=P_Baremes!$D$5:$D$400))&gt;0)*(((P_Baremes!$E$5:$E$400="")+($E50&lt;P_Baremes!$E$5:$E$400))&gt;0)),0),SUMPRODUCT((P_Baremes!$A$5:$A$400=$A50)*(P_Baremes!$B$5:$B$400="MODALITE")*(P_Baremes!$C$5:$C$400=$E50))))</f>
        <v>1.0</v>
      </c>
      <c r="M50" s="34">
        <f>IF($A50="",0,IF($L50=0,0,IF($O50="NUM",SUMPRODUCT((P_Baremes!$A$5:$A$400=$A50)*(P_Baremes!$B$5:$B$400="PLAGE")*(((P_Baremes!$D$5:$D$400="")+($E50&gt;=P_Baremes!$D$5:$D$400))&gt;0)*(((P_Baremes!$E$5:$E$400="")+($E50&lt;P_Baremes!$E$5:$E$400))&gt;0)*P_Baremes!$H$5:$H$400),SUMPRODUCT((P_Baremes!$A$5:$A$400=$A50)*(P_Baremes!$B$5:$B$400="MODALITE")*(P_Baremes!$C$5:$C$400=$E50)*P_Baremes!$H$5:$H$400))))</f>
        <v>10.0</v>
      </c>
      <c r="N50" s="5" t="str">
        <f>IF($A50="","",P_Criteres!J11)</f>
        <v>ECONOMIC</v>
      </c>
      <c r="O50" s="5" t="str">
        <f>IF($A50="","",P_Criteres!D11)</f>
        <v>QUAL</v>
      </c>
      <c r="P50" s="34">
        <f>IF($A50="",0,IFERROR(INDEX(P_DomPoids,MATCH($B50,P_DomCodes,0)),0))</f>
        <v>0.2</v>
      </c>
      <c r="Q50" s="34">
        <f>P50*G50</f>
        <v>0.020000000000000004</v>
      </c>
      <c r="R50" s="5">
        <f>IF(J50,IF(ISNUMBER(SEARCH(","&amp;D50&amp;",",","&amp;R49&amp;",")),R49,R49&amp;IF(R49="","",",")&amp;D50),R49)</f>
        <v/>
      </c>
      <c r="S50" s="5">
        <f>IF(I50,S49&amp;IF(S49="","","; ")&amp;"Lever la condition « "&amp;C50&amp;" » avant "&amp;SUBSTITUTE(LOWER(IF(P_Criteres!I11="","TIRAGE",P_Criteres!I11)),"etude","étude"),S49)</f>
        <v/>
      </c>
      <c r="T50" s="5">
        <f>IF(AND(J50,NOT(ISNUMBER(SEARCH(","&amp;D50&amp;",",","&amp;R49&amp;",")))),T49&amp;IF(T49="","",", ")&amp;IFERROR(INDEX(Saisie!$C$13:$C$92,MATCH(D50,In_Cles,0)),D50),T49)</f>
        <v/>
      </c>
      <c r="U50" s="48">
        <f>IF(OR($A50="",N(G50)&lt;=0),"",F50+ROW()/1000000)</f>
        <v>10.00005</v>
      </c>
      <c r="V50" s="5" t="str">
        <f>IF($A50="","",IF($E50="","(non renseignée)",IF($O50="QUAL",IFERROR(INDEX(P_Baremes!$F$5:$F$400,SUMPRODUCT(MAX((P_Baremes!$A$5:$A$400=$A50)*(P_Baremes!$B$5:$B$400="MODALITE")*(P_Baremes!$C$5:$C$400=$E50)*(ROW(P_Baremes!$A$5:$A$400)-4)))),$E50),$E50)))</f>
        <v>Titre purgé + autorisations définitives</v>
      </c>
    </row>
    <row r="51" spans="1:22">
      <c r="A51" s="5" t="str">
        <f>IF(P_Criteres!A12="","",P_Criteres!A12)</f>
        <v>D2C2</v>
      </c>
      <c r="B51" s="5" t="str">
        <f>IF($A51="","",P_Criteres!B12)</f>
        <v>D2</v>
      </c>
      <c r="C51" s="5" t="str">
        <f>IF($A51="","",P_Criteres!C12)</f>
        <v>Marché &amp; positionnement</v>
      </c>
      <c r="D51" s="5" t="str">
        <f>IF($A51="","",P_Criteres!F12)</f>
        <v>market_positioning</v>
      </c>
      <c r="E51" s="5" t="str">
        <f>IF($A51="","",IFERROR(INDEX(In_Retenue,MATCH($D51,In_Cles,0)),""))</f>
        <v>aligne</v>
      </c>
      <c r="F51" s="34">
        <f>IF($A51="",0,ROUND(MIN(P_Scale,MAX(0,IF($L51=0,$K51,$M51))),2))</f>
        <v>10.0</v>
      </c>
      <c r="G51" s="34">
        <f>IF($A51="",0,P_Criteres!E12)</f>
        <v>0.15</v>
      </c>
      <c r="H51" s="34">
        <f>ROUND(F51*G51,2)</f>
        <v>1.5</v>
      </c>
      <c r="I51" s="5" t="b">
        <f>IF($A51="",FALSE,AND(P_Criteres!G12="Oui",ISNUMBER(P_Criteres!H12),F51&lt;=N(P_Criteres!H12)))</f>
        <v>0</v>
      </c>
      <c r="J51" s="5" t="b">
        <f>IF($A51="",FALSE,AND(OR(P_Criteres!G12="Oui",P_Criteres!K12="Oui"),$E51=""))</f>
        <v>0</v>
      </c>
      <c r="K51" s="34">
        <f t="array" ref="K51">IF($A51="",0,MIN(IF(P_Baremes!$A$5:$A$400=$A51,P_Baremes!$H$5:$H$400)))</f>
        <v>2.0</v>
      </c>
      <c r="L51" s="34">
        <f>IF($A51="",0,IF($O51="NUM",IF(ISNUMBER($E51),SUMPRODUCT((P_Baremes!$A$5:$A$400=$A51)*(P_Baremes!$B$5:$B$400="PLAGE")*(((P_Baremes!$D$5:$D$400="")+($E51&gt;=P_Baremes!$D$5:$D$400))&gt;0)*(((P_Baremes!$E$5:$E$400="")+($E51&lt;P_Baremes!$E$5:$E$400))&gt;0)),0),SUMPRODUCT((P_Baremes!$A$5:$A$400=$A51)*(P_Baremes!$B$5:$B$400="MODALITE")*(P_Baremes!$C$5:$C$400=$E51))))</f>
        <v>1.0</v>
      </c>
      <c r="M51" s="34">
        <f>IF($A51="",0,IF($L51=0,0,IF($O51="NUM",SUMPRODUCT((P_Baremes!$A$5:$A$400=$A51)*(P_Baremes!$B$5:$B$400="PLAGE")*(((P_Baremes!$D$5:$D$400="")+($E51&gt;=P_Baremes!$D$5:$D$400))&gt;0)*(((P_Baremes!$E$5:$E$400="")+($E51&lt;P_Baremes!$E$5:$E$400))&gt;0)*P_Baremes!$H$5:$H$400),SUMPRODUCT((P_Baremes!$A$5:$A$400=$A51)*(P_Baremes!$B$5:$B$400="MODALITE")*(P_Baremes!$C$5:$C$400=$E51)*P_Baremes!$H$5:$H$400))))</f>
        <v>10.0</v>
      </c>
      <c r="N51" s="5" t="str">
        <f>IF($A51="","",P_Criteres!J12)</f>
        <v>ECONOMIC</v>
      </c>
      <c r="O51" s="5" t="str">
        <f>IF($A51="","",P_Criteres!D12)</f>
        <v>QUAL</v>
      </c>
      <c r="P51" s="34">
        <f>IF($A51="",0,IFERROR(INDEX(P_DomPoids,MATCH($B51,P_DomCodes,0)),0))</f>
        <v>0.2</v>
      </c>
      <c r="Q51" s="34">
        <f>P51*G51</f>
        <v>0.03</v>
      </c>
      <c r="R51" s="5">
        <f>IF(J51,IF(ISNUMBER(SEARCH(","&amp;D51&amp;",",","&amp;R50&amp;",")),R50,R50&amp;IF(R50="","",",")&amp;D51),R50)</f>
        <v/>
      </c>
      <c r="S51" s="5">
        <f>IF(I51,S50&amp;IF(S50="","","; ")&amp;"Lever la condition « "&amp;C51&amp;" » avant "&amp;SUBSTITUTE(LOWER(IF(P_Criteres!I12="","TIRAGE",P_Criteres!I12)),"etude","étude"),S50)</f>
        <v/>
      </c>
      <c r="T51" s="5">
        <f>IF(AND(J51,NOT(ISNUMBER(SEARCH(","&amp;D51&amp;",",","&amp;R50&amp;",")))),T50&amp;IF(T50="","",", ")&amp;IFERROR(INDEX(Saisie!$C$13:$C$92,MATCH(D51,In_Cles,0)),D51),T50)</f>
        <v/>
      </c>
      <c r="U51" s="48">
        <f>IF(OR($A51="",N(G51)&lt;=0),"",F51+ROW()/1000000)</f>
        <v>10.000051</v>
      </c>
      <c r="V51" s="5" t="str">
        <f>IF($A51="","",IF($E51="","(non renseignée)",IF($O51="QUAL",IFERROR(INDEX(P_Baremes!$F$5:$F$400,SUMPRODUCT(MAX((P_Baremes!$A$5:$A$400=$A51)*(P_Baremes!$B$5:$B$400="MODALITE")*(P_Baremes!$C$5:$C$400=$E51)*(ROW(P_Baremes!$A$5:$A$400)-4)))),$E51),$E51)))</f>
        <v>Aligné / forte demande</v>
      </c>
    </row>
    <row r="52" spans="1:22">
      <c r="A52" s="5" t="str">
        <f>IF(P_Criteres!A13="","",P_Criteres!A13)</f>
        <v>D2C3</v>
      </c>
      <c r="B52" s="5" t="str">
        <f>IF($A52="","",P_Criteres!B13)</f>
        <v>D2</v>
      </c>
      <c r="C52" s="5" t="str">
        <f>IF($A52="","",P_Criteres!C13)</f>
        <v>Complexité technique</v>
      </c>
      <c r="D52" s="5" t="str">
        <f>IF($A52="","",P_Criteres!F13)</f>
        <v>technical_complexity</v>
      </c>
      <c r="E52" s="5" t="str">
        <f>IF($A52="","",IFERROR(INDEX(In_Retenue,MATCH($D52,In_Cles,0)),""))</f>
        <v>standard</v>
      </c>
      <c r="F52" s="34">
        <f>IF($A52="",0,ROUND(MIN(P_Scale,MAX(0,IF($L52=0,$K52,$M52))),2))</f>
        <v>10.0</v>
      </c>
      <c r="G52" s="34">
        <f>IF($A52="",0,P_Criteres!E13)</f>
        <v>0.1</v>
      </c>
      <c r="H52" s="34">
        <f>ROUND(F52*G52,2)</f>
        <v>1.0</v>
      </c>
      <c r="I52" s="5" t="b">
        <f>IF($A52="",FALSE,AND(P_Criteres!G13="Oui",ISNUMBER(P_Criteres!H13),F52&lt;=N(P_Criteres!H13)))</f>
        <v>0</v>
      </c>
      <c r="J52" s="5" t="b">
        <f>IF($A52="",FALSE,AND(OR(P_Criteres!G13="Oui",P_Criteres!K13="Oui"),$E52=""))</f>
        <v>0</v>
      </c>
      <c r="K52" s="34">
        <f t="array" ref="K52">IF($A52="",0,MIN(IF(P_Baremes!$A$5:$A$400=$A52,P_Baremes!$H$5:$H$400)))</f>
        <v>2.0</v>
      </c>
      <c r="L52" s="34">
        <f>IF($A52="",0,IF($O52="NUM",IF(ISNUMBER($E52),SUMPRODUCT((P_Baremes!$A$5:$A$400=$A52)*(P_Baremes!$B$5:$B$400="PLAGE")*(((P_Baremes!$D$5:$D$400="")+($E52&gt;=P_Baremes!$D$5:$D$400))&gt;0)*(((P_Baremes!$E$5:$E$400="")+($E52&lt;P_Baremes!$E$5:$E$400))&gt;0)),0),SUMPRODUCT((P_Baremes!$A$5:$A$400=$A52)*(P_Baremes!$B$5:$B$400="MODALITE")*(P_Baremes!$C$5:$C$400=$E52))))</f>
        <v>1.0</v>
      </c>
      <c r="M52" s="34">
        <f>IF($A52="",0,IF($L52=0,0,IF($O52="NUM",SUMPRODUCT((P_Baremes!$A$5:$A$400=$A52)*(P_Baremes!$B$5:$B$400="PLAGE")*(((P_Baremes!$D$5:$D$400="")+($E52&gt;=P_Baremes!$D$5:$D$400))&gt;0)*(((P_Baremes!$E$5:$E$400="")+($E52&lt;P_Baremes!$E$5:$E$400))&gt;0)*P_Baremes!$H$5:$H$400),SUMPRODUCT((P_Baremes!$A$5:$A$400=$A52)*(P_Baremes!$B$5:$B$400="MODALITE")*(P_Baremes!$C$5:$C$400=$E52)*P_Baremes!$H$5:$H$400))))</f>
        <v>10.0</v>
      </c>
      <c r="N52" s="5" t="str">
        <f>IF($A52="","",P_Criteres!J13)</f>
        <v>ECONOMIC</v>
      </c>
      <c r="O52" s="5" t="str">
        <f>IF($A52="","",P_Criteres!D13)</f>
        <v>QUAL</v>
      </c>
      <c r="P52" s="34">
        <f>IF($A52="",0,IFERROR(INDEX(P_DomPoids,MATCH($B52,P_DomCodes,0)),0))</f>
        <v>0.2</v>
      </c>
      <c r="Q52" s="34">
        <f>P52*G52</f>
        <v>0.020000000000000004</v>
      </c>
      <c r="R52" s="5">
        <f>IF(J52,IF(ISNUMBER(SEARCH(","&amp;D52&amp;",",","&amp;R51&amp;",")),R51,R51&amp;IF(R51="","",",")&amp;D52),R51)</f>
        <v/>
      </c>
      <c r="S52" s="5">
        <f>IF(I52,S51&amp;IF(S51="","","; ")&amp;"Lever la condition « "&amp;C52&amp;" » avant "&amp;SUBSTITUTE(LOWER(IF(P_Criteres!I13="","TIRAGE",P_Criteres!I13)),"etude","étude"),S51)</f>
        <v/>
      </c>
      <c r="T52" s="5">
        <f>IF(AND(J52,NOT(ISNUMBER(SEARCH(","&amp;D52&amp;",",","&amp;R51&amp;",")))),T51&amp;IF(T51="","",", ")&amp;IFERROR(INDEX(Saisie!$C$13:$C$92,MATCH(D52,In_Cles,0)),D52),T51)</f>
        <v/>
      </c>
      <c r="U52" s="48">
        <f>IF(OR($A52="",N(G52)&lt;=0),"",F52+ROW()/1000000)</f>
        <v>10.000052</v>
      </c>
      <c r="V52" s="5" t="str">
        <f>IF($A52="","",IF($E52="","(non renseignée)",IF($O52="QUAL",IFERROR(INDEX(P_Baremes!$F$5:$F$400,SUMPRODUCT(MAX((P_Baremes!$A$5:$A$400=$A52)*(P_Baremes!$B$5:$B$400="MODALITE")*(P_Baremes!$C$5:$C$400=$E52)*(ROW(P_Baremes!$A$5:$A$400)-4)))),$E52),$E52)))</f>
        <v>Standard</v>
      </c>
    </row>
    <row r="53" spans="1:22">
      <c r="A53" s="5" t="str">
        <f>IF(P_Criteres!A14="","",P_Criteres!A14)</f>
        <v>D2C4</v>
      </c>
      <c r="B53" s="5" t="str">
        <f>IF($A53="","",P_Criteres!B14)</f>
        <v>D2</v>
      </c>
      <c r="C53" s="5" t="str">
        <f>IF($A53="","",P_Criteres!C14)</f>
        <v>Avancement vs planning</v>
      </c>
      <c r="D53" s="5" t="str">
        <f>IF($A53="","",P_Criteres!F14)</f>
        <v>progress_vs_plan</v>
      </c>
      <c r="E53" s="5">
        <f>IF($A53="","",IFERROR(INDEX(In_Retenue,MATCH($D53,In_Cles,0)),""))</f>
        <v>100.0</v>
      </c>
      <c r="F53" s="34">
        <f>IF($A53="",0,ROUND(MIN(P_Scale,MAX(0,IF($L53=0,$K53,$M53))),2))</f>
        <v>10.0</v>
      </c>
      <c r="G53" s="34">
        <f>IF($A53="",0,P_Criteres!E14)</f>
        <v>0.1</v>
      </c>
      <c r="H53" s="34">
        <f>ROUND(F53*G53,2)</f>
        <v>1.0</v>
      </c>
      <c r="I53" s="5" t="b">
        <f>IF($A53="",FALSE,AND(P_Criteres!G14="Oui",ISNUMBER(P_Criteres!H14),F53&lt;=N(P_Criteres!H14)))</f>
        <v>0</v>
      </c>
      <c r="J53" s="5" t="b">
        <f>IF($A53="",FALSE,AND(OR(P_Criteres!G14="Oui",P_Criteres!K14="Oui"),$E53=""))</f>
        <v>0</v>
      </c>
      <c r="K53" s="34">
        <f t="array" ref="K53">IF($A53="",0,MIN(IF(P_Baremes!$A$5:$A$400=$A53,P_Baremes!$H$5:$H$400)))</f>
        <v>1.0</v>
      </c>
      <c r="L53" s="34">
        <f>IF($A53="",0,IF($O53="NUM",IF(ISNUMBER($E53),SUMPRODUCT((P_Baremes!$A$5:$A$400=$A53)*(P_Baremes!$B$5:$B$400="PLAGE")*(((P_Baremes!$D$5:$D$400="")+($E53&gt;=P_Baremes!$D$5:$D$400))&gt;0)*(((P_Baremes!$E$5:$E$400="")+($E53&lt;P_Baremes!$E$5:$E$400))&gt;0)),0),SUMPRODUCT((P_Baremes!$A$5:$A$400=$A53)*(P_Baremes!$B$5:$B$400="MODALITE")*(P_Baremes!$C$5:$C$400=$E53))))</f>
        <v>1.0</v>
      </c>
      <c r="M53" s="34">
        <f>IF($A53="",0,IF($L53=0,0,IF($O53="NUM",SUMPRODUCT((P_Baremes!$A$5:$A$400=$A53)*(P_Baremes!$B$5:$B$400="PLAGE")*(((P_Baremes!$D$5:$D$400="")+($E53&gt;=P_Baremes!$D$5:$D$400))&gt;0)*(((P_Baremes!$E$5:$E$400="")+($E53&lt;P_Baremes!$E$5:$E$400))&gt;0)*P_Baremes!$H$5:$H$400),SUMPRODUCT((P_Baremes!$A$5:$A$400=$A53)*(P_Baremes!$B$5:$B$400="MODALITE")*(P_Baremes!$C$5:$C$400=$E53)*P_Baremes!$H$5:$H$400))))</f>
        <v>10.0</v>
      </c>
      <c r="N53" s="5" t="str">
        <f>IF($A53="","",P_Criteres!J14)</f>
        <v>ECONOMIC</v>
      </c>
      <c r="O53" s="5" t="str">
        <f>IF($A53="","",P_Criteres!D14)</f>
        <v>NUM</v>
      </c>
      <c r="P53" s="34">
        <f>IF($A53="",0,IFERROR(INDEX(P_DomPoids,MATCH($B53,P_DomCodes,0)),0))</f>
        <v>0.2</v>
      </c>
      <c r="Q53" s="34">
        <f>P53*G53</f>
        <v>0.020000000000000004</v>
      </c>
      <c r="R53" s="5">
        <f>IF(J53,IF(ISNUMBER(SEARCH(","&amp;D53&amp;",",","&amp;R52&amp;",")),R52,R52&amp;IF(R52="","",",")&amp;D53),R52)</f>
        <v/>
      </c>
      <c r="S53" s="5">
        <f>IF(I53,S52&amp;IF(S52="","","; ")&amp;"Lever la condition « "&amp;C53&amp;" » avant "&amp;SUBSTITUTE(LOWER(IF(P_Criteres!I14="","TIRAGE",P_Criteres!I14)),"etude","étude"),S52)</f>
        <v/>
      </c>
      <c r="T53" s="5">
        <f>IF(AND(J53,NOT(ISNUMBER(SEARCH(","&amp;D53&amp;",",","&amp;R52&amp;",")))),T52&amp;IF(T52="","",", ")&amp;IFERROR(INDEX(Saisie!$C$13:$C$92,MATCH(D53,In_Cles,0)),D53),T52)</f>
        <v/>
      </c>
      <c r="U53" s="48">
        <f>IF(OR($A53="",N(G53)&lt;=0),"",F53+ROW()/1000000)</f>
        <v>10.000053</v>
      </c>
      <c r="V53" s="5">
        <f>IF($A53="","",IF($E53="","(non renseignée)",IF($O53="QUAL",IFERROR(INDEX(P_Baremes!$F$5:$F$400,SUMPRODUCT(MAX((P_Baremes!$A$5:$A$400=$A53)*(P_Baremes!$B$5:$B$400="MODALITE")*(P_Baremes!$C$5:$C$400=$E53)*(ROW(P_Baremes!$A$5:$A$400)-4)))),$E53),$E53)))</f>
        <v>100.0</v>
      </c>
    </row>
    <row r="54" spans="1:22">
      <c r="A54" s="5" t="str">
        <f>IF(P_Criteres!A15="","",P_Criteres!A15)</f>
        <v>D2C5</v>
      </c>
      <c r="B54" s="5" t="str">
        <f>IF($A54="","",P_Criteres!B15)</f>
        <v>D2</v>
      </c>
      <c r="C54" s="5" t="str">
        <f>IF($A54="","",P_Criteres!C15)</f>
        <v>Litiges clients / SAV</v>
      </c>
      <c r="D54" s="5" t="str">
        <f>IF($A54="","",P_Criteres!F15)</f>
        <v>sav_litigation</v>
      </c>
      <c r="E54" s="5" t="str">
        <f>IF($A54="","",IFERROR(INDEX(In_Retenue,MATCH($D54,In_Cles,0)),""))</f>
        <v>faible</v>
      </c>
      <c r="F54" s="34">
        <f>IF($A54="",0,ROUND(MIN(P_Scale,MAX(0,IF($L54=0,$K54,$M54))),2))</f>
        <v>10.0</v>
      </c>
      <c r="G54" s="34">
        <f>IF($A54="",0,P_Criteres!E15)</f>
        <v>0.05</v>
      </c>
      <c r="H54" s="34">
        <f>ROUND(F54*G54,2)</f>
        <v>0.5</v>
      </c>
      <c r="I54" s="5" t="b">
        <f>IF($A54="",FALSE,AND(P_Criteres!G15="Oui",ISNUMBER(P_Criteres!H15),F54&lt;=N(P_Criteres!H15)))</f>
        <v>0</v>
      </c>
      <c r="J54" s="5" t="b">
        <f>IF($A54="",FALSE,AND(OR(P_Criteres!G15="Oui",P_Criteres!K15="Oui"),$E54=""))</f>
        <v>0</v>
      </c>
      <c r="K54" s="34">
        <f t="array" ref="K54">IF($A54="",0,MIN(IF(P_Baremes!$A$5:$A$400=$A54,P_Baremes!$H$5:$H$400)))</f>
        <v>2.0</v>
      </c>
      <c r="L54" s="34">
        <f>IF($A54="",0,IF($O54="NUM",IF(ISNUMBER($E54),SUMPRODUCT((P_Baremes!$A$5:$A$400=$A54)*(P_Baremes!$B$5:$B$400="PLAGE")*(((P_Baremes!$D$5:$D$400="")+($E54&gt;=P_Baremes!$D$5:$D$400))&gt;0)*(((P_Baremes!$E$5:$E$400="")+($E54&lt;P_Baremes!$E$5:$E$400))&gt;0)),0),SUMPRODUCT((P_Baremes!$A$5:$A$400=$A54)*(P_Baremes!$B$5:$B$400="MODALITE")*(P_Baremes!$C$5:$C$400=$E54))))</f>
        <v>1.0</v>
      </c>
      <c r="M54" s="34">
        <f>IF($A54="",0,IF($L54=0,0,IF($O54="NUM",SUMPRODUCT((P_Baremes!$A$5:$A$400=$A54)*(P_Baremes!$B$5:$B$400="PLAGE")*(((P_Baremes!$D$5:$D$400="")+($E54&gt;=P_Baremes!$D$5:$D$400))&gt;0)*(((P_Baremes!$E$5:$E$400="")+($E54&lt;P_Baremes!$E$5:$E$400))&gt;0)*P_Baremes!$H$5:$H$400),SUMPRODUCT((P_Baremes!$A$5:$A$400=$A54)*(P_Baremes!$B$5:$B$400="MODALITE")*(P_Baremes!$C$5:$C$400=$E54)*P_Baremes!$H$5:$H$400))))</f>
        <v>10.0</v>
      </c>
      <c r="N54" s="5" t="str">
        <f>IF($A54="","",P_Criteres!J15)</f>
        <v>ECONOMIC</v>
      </c>
      <c r="O54" s="5" t="str">
        <f>IF($A54="","",P_Criteres!D15)</f>
        <v>QUAL</v>
      </c>
      <c r="P54" s="34">
        <f>IF($A54="",0,IFERROR(INDEX(P_DomPoids,MATCH($B54,P_DomCodes,0)),0))</f>
        <v>0.2</v>
      </c>
      <c r="Q54" s="34">
        <f>P54*G54</f>
        <v>0.010000000000000002</v>
      </c>
      <c r="R54" s="5">
        <f>IF(J54,IF(ISNUMBER(SEARCH(","&amp;D54&amp;",",","&amp;R53&amp;",")),R53,R53&amp;IF(R53="","",",")&amp;D54),R53)</f>
        <v/>
      </c>
      <c r="S54" s="5">
        <f>IF(I54,S53&amp;IF(S53="","","; ")&amp;"Lever la condition « "&amp;C54&amp;" » avant "&amp;SUBSTITUTE(LOWER(IF(P_Criteres!I15="","TIRAGE",P_Criteres!I15)),"etude","étude"),S53)</f>
        <v/>
      </c>
      <c r="T54" s="5">
        <f>IF(AND(J54,NOT(ISNUMBER(SEARCH(","&amp;D54&amp;",",","&amp;R53&amp;",")))),T53&amp;IF(T53="","",", ")&amp;IFERROR(INDEX(Saisie!$C$13:$C$92,MATCH(D54,In_Cles,0)),D54),T53)</f>
        <v/>
      </c>
      <c r="U54" s="48">
        <f>IF(OR($A54="",N(G54)&lt;=0),"",F54+ROW()/1000000)</f>
        <v>10.000054</v>
      </c>
      <c r="V54" s="5" t="str">
        <f>IF($A54="","",IF($E54="","(non renseignée)",IF($O54="QUAL",IFERROR(INDEX(P_Baremes!$F$5:$F$400,SUMPRODUCT(MAX((P_Baremes!$A$5:$A$400=$A54)*(P_Baremes!$B$5:$B$400="MODALITE")*(P_Baremes!$C$5:$C$400=$E54)*(ROW(P_Baremes!$A$5:$A$400)-4)))),$E54),$E54)))</f>
        <v>Faible</v>
      </c>
    </row>
    <row r="55" spans="1:22">
      <c r="A55" s="5" t="str">
        <f>IF(P_Criteres!A16="","",P_Criteres!A16)</f>
        <v>D2C6</v>
      </c>
      <c r="B55" s="5" t="str">
        <f>IF($A55="","",P_Criteres!B16)</f>
        <v>D2</v>
      </c>
      <c r="C55" s="5" t="str">
        <f>IF($A55="","",P_Criteres!C16)</f>
        <v>Sensibilité macro / subvention</v>
      </c>
      <c r="D55" s="5" t="str">
        <f>IF($A55="","",P_Criteres!F16)</f>
        <v>macro_sensitivity</v>
      </c>
      <c r="E55" s="5" t="str">
        <f>IF($A55="","",IFERROR(INDEX(In_Retenue,MATCH($D55,In_Cles,0)),""))</f>
        <v>faible</v>
      </c>
      <c r="F55" s="34">
        <f>IF($A55="",0,ROUND(MIN(P_Scale,MAX(0,IF($L55=0,$K55,$M55))),2))</f>
        <v>10.0</v>
      </c>
      <c r="G55" s="34">
        <f>IF($A55="",0,P_Criteres!E16)</f>
        <v>0.05</v>
      </c>
      <c r="H55" s="34">
        <f>ROUND(F55*G55,2)</f>
        <v>0.5</v>
      </c>
      <c r="I55" s="5" t="b">
        <f>IF($A55="",FALSE,AND(P_Criteres!G16="Oui",ISNUMBER(P_Criteres!H16),F55&lt;=N(P_Criteres!H16)))</f>
        <v>0</v>
      </c>
      <c r="J55" s="5" t="b">
        <f>IF($A55="",FALSE,AND(OR(P_Criteres!G16="Oui",P_Criteres!K16="Oui"),$E55=""))</f>
        <v>0</v>
      </c>
      <c r="K55" s="34">
        <f t="array" ref="K55">IF($A55="",0,MIN(IF(P_Baremes!$A$5:$A$400=$A55,P_Baremes!$H$5:$H$400)))</f>
        <v>2.0</v>
      </c>
      <c r="L55" s="34">
        <f>IF($A55="",0,IF($O55="NUM",IF(ISNUMBER($E55),SUMPRODUCT((P_Baremes!$A$5:$A$400=$A55)*(P_Baremes!$B$5:$B$400="PLAGE")*(((P_Baremes!$D$5:$D$400="")+($E55&gt;=P_Baremes!$D$5:$D$400))&gt;0)*(((P_Baremes!$E$5:$E$400="")+($E55&lt;P_Baremes!$E$5:$E$400))&gt;0)),0),SUMPRODUCT((P_Baremes!$A$5:$A$400=$A55)*(P_Baremes!$B$5:$B$400="MODALITE")*(P_Baremes!$C$5:$C$400=$E55))))</f>
        <v>1.0</v>
      </c>
      <c r="M55" s="34">
        <f>IF($A55="",0,IF($L55=0,0,IF($O55="NUM",SUMPRODUCT((P_Baremes!$A$5:$A$400=$A55)*(P_Baremes!$B$5:$B$400="PLAGE")*(((P_Baremes!$D$5:$D$400="")+($E55&gt;=P_Baremes!$D$5:$D$400))&gt;0)*(((P_Baremes!$E$5:$E$400="")+($E55&lt;P_Baremes!$E$5:$E$400))&gt;0)*P_Baremes!$H$5:$H$400),SUMPRODUCT((P_Baremes!$A$5:$A$400=$A55)*(P_Baremes!$B$5:$B$400="MODALITE")*(P_Baremes!$C$5:$C$400=$E55)*P_Baremes!$H$5:$H$400))))</f>
        <v>10.0</v>
      </c>
      <c r="N55" s="5" t="str">
        <f>IF($A55="","",P_Criteres!J16)</f>
        <v>ECONOMIC</v>
      </c>
      <c r="O55" s="5" t="str">
        <f>IF($A55="","",P_Criteres!D16)</f>
        <v>QUAL</v>
      </c>
      <c r="P55" s="34">
        <f>IF($A55="",0,IFERROR(INDEX(P_DomPoids,MATCH($B55,P_DomCodes,0)),0))</f>
        <v>0.2</v>
      </c>
      <c r="Q55" s="34">
        <f>P55*G55</f>
        <v>0.010000000000000002</v>
      </c>
      <c r="R55" s="5">
        <f>IF(J55,IF(ISNUMBER(SEARCH(","&amp;D55&amp;",",","&amp;R54&amp;",")),R54,R54&amp;IF(R54="","",",")&amp;D55),R54)</f>
        <v/>
      </c>
      <c r="S55" s="5">
        <f>IF(I55,S54&amp;IF(S54="","","; ")&amp;"Lever la condition « "&amp;C55&amp;" » avant "&amp;SUBSTITUTE(LOWER(IF(P_Criteres!I16="","TIRAGE",P_Criteres!I16)),"etude","étude"),S54)</f>
        <v/>
      </c>
      <c r="T55" s="5">
        <f>IF(AND(J55,NOT(ISNUMBER(SEARCH(","&amp;D55&amp;",",","&amp;R54&amp;",")))),T54&amp;IF(T54="","",", ")&amp;IFERROR(INDEX(Saisie!$C$13:$C$92,MATCH(D55,In_Cles,0)),D55),T54)</f>
        <v/>
      </c>
      <c r="U55" s="48">
        <f>IF(OR($A55="",N(G55)&lt;=0),"",F55+ROW()/1000000)</f>
        <v>10.000055</v>
      </c>
      <c r="V55" s="5" t="str">
        <f>IF($A55="","",IF($E55="","(non renseignée)",IF($O55="QUAL",IFERROR(INDEX(P_Baremes!$F$5:$F$400,SUMPRODUCT(MAX((P_Baremes!$A$5:$A$400=$A55)*(P_Baremes!$B$5:$B$400="MODALITE")*(P_Baremes!$C$5:$C$400=$E55)*(ROW(P_Baremes!$A$5:$A$400)-4)))),$E55),$E55)))</f>
        <v>Faible</v>
      </c>
    </row>
    <row r="56" spans="1:22">
      <c r="A56" s="5" t="str">
        <f>IF(P_Criteres!A17="","",P_Criteres!A17)</f>
        <v>D2C7</v>
      </c>
      <c r="B56" s="5" t="str">
        <f>IF($A56="","",P_Criteres!B17)</f>
        <v>D2</v>
      </c>
      <c r="C56" s="5" t="str">
        <f>IF($A56="","",P_Criteres!C17)</f>
        <v>Coût foncier / CA</v>
      </c>
      <c r="D56" s="5" t="str">
        <f>IF($A56="","",P_Criteres!F17)</f>
        <v>land_cost_ratio</v>
      </c>
      <c r="E56" s="5">
        <f>IF($A56="","",IFERROR(INDEX(In_Retenue,MATCH($D56,In_Cles,0)),""))</f>
        <v>22.0</v>
      </c>
      <c r="F56" s="34">
        <f>IF($A56="",0,ROUND(MIN(P_Scale,MAX(0,IF($L56=0,$K56,$M56))),2))</f>
        <v>10.0</v>
      </c>
      <c r="G56" s="34">
        <f>IF($A56="",0,P_Criteres!E17)</f>
        <v>0.05</v>
      </c>
      <c r="H56" s="34">
        <f>ROUND(F56*G56,2)</f>
        <v>0.5</v>
      </c>
      <c r="I56" s="5" t="b">
        <f>IF($A56="",FALSE,AND(P_Criteres!G17="Oui",ISNUMBER(P_Criteres!H17),F56&lt;=N(P_Criteres!H17)))</f>
        <v>0</v>
      </c>
      <c r="J56" s="5" t="b">
        <f>IF($A56="",FALSE,AND(OR(P_Criteres!G17="Oui",P_Criteres!K17="Oui"),$E56=""))</f>
        <v>0</v>
      </c>
      <c r="K56" s="34">
        <f t="array" ref="K56">IF($A56="",0,MIN(IF(P_Baremes!$A$5:$A$400=$A56,P_Baremes!$H$5:$H$400)))</f>
        <v>1.0</v>
      </c>
      <c r="L56" s="34">
        <f>IF($A56="",0,IF($O56="NUM",IF(ISNUMBER($E56),SUMPRODUCT((P_Baremes!$A$5:$A$400=$A56)*(P_Baremes!$B$5:$B$400="PLAGE")*(((P_Baremes!$D$5:$D$400="")+($E56&gt;=P_Baremes!$D$5:$D$400))&gt;0)*(((P_Baremes!$E$5:$E$400="")+($E56&lt;P_Baremes!$E$5:$E$400))&gt;0)),0),SUMPRODUCT((P_Baremes!$A$5:$A$400=$A56)*(P_Baremes!$B$5:$B$400="MODALITE")*(P_Baremes!$C$5:$C$400=$E56))))</f>
        <v>1.0</v>
      </c>
      <c r="M56" s="34">
        <f>IF($A56="",0,IF($L56=0,0,IF($O56="NUM",SUMPRODUCT((P_Baremes!$A$5:$A$400=$A56)*(P_Baremes!$B$5:$B$400="PLAGE")*(((P_Baremes!$D$5:$D$400="")+($E56&gt;=P_Baremes!$D$5:$D$400))&gt;0)*(((P_Baremes!$E$5:$E$400="")+($E56&lt;P_Baremes!$E$5:$E$400))&gt;0)*P_Baremes!$H$5:$H$400),SUMPRODUCT((P_Baremes!$A$5:$A$400=$A56)*(P_Baremes!$B$5:$B$400="MODALITE")*(P_Baremes!$C$5:$C$400=$E56)*P_Baremes!$H$5:$H$400))))</f>
        <v>10.0</v>
      </c>
      <c r="N56" s="5" t="str">
        <f>IF($A56="","",P_Criteres!J17)</f>
        <v>ECONOMIC</v>
      </c>
      <c r="O56" s="5" t="str">
        <f>IF($A56="","",P_Criteres!D17)</f>
        <v>NUM</v>
      </c>
      <c r="P56" s="34">
        <f>IF($A56="",0,IFERROR(INDEX(P_DomPoids,MATCH($B56,P_DomCodes,0)),0))</f>
        <v>0.2</v>
      </c>
      <c r="Q56" s="34">
        <f>P56*G56</f>
        <v>0.010000000000000002</v>
      </c>
      <c r="R56" s="5">
        <f>IF(J56,IF(ISNUMBER(SEARCH(","&amp;D56&amp;",",","&amp;R55&amp;",")),R55,R55&amp;IF(R55="","",",")&amp;D56),R55)</f>
        <v/>
      </c>
      <c r="S56" s="5">
        <f>IF(I56,S55&amp;IF(S55="","","; ")&amp;"Lever la condition « "&amp;C56&amp;" » avant "&amp;SUBSTITUTE(LOWER(IF(P_Criteres!I17="","TIRAGE",P_Criteres!I17)),"etude","étude"),S55)</f>
        <v/>
      </c>
      <c r="T56" s="5">
        <f>IF(AND(J56,NOT(ISNUMBER(SEARCH(","&amp;D56&amp;",",","&amp;R55&amp;",")))),T55&amp;IF(T55="","",", ")&amp;IFERROR(INDEX(Saisie!$C$13:$C$92,MATCH(D56,In_Cles,0)),D56),T55)</f>
        <v/>
      </c>
      <c r="U56" s="48">
        <f>IF(OR($A56="",N(G56)&lt;=0),"",F56+ROW()/1000000)</f>
        <v>10.000056</v>
      </c>
      <c r="V56" s="5">
        <f>IF($A56="","",IF($E56="","(non renseignée)",IF($O56="QUAL",IFERROR(INDEX(P_Baremes!$F$5:$F$400,SUMPRODUCT(MAX((P_Baremes!$A$5:$A$400=$A56)*(P_Baremes!$B$5:$B$400="MODALITE")*(P_Baremes!$C$5:$C$400=$E56)*(ROW(P_Baremes!$A$5:$A$400)-4)))),$E56),$E56)))</f>
        <v>22.0</v>
      </c>
    </row>
    <row r="57" spans="1:22">
      <c r="A57" s="5" t="str">
        <f>IF(P_Criteres!A18="","",P_Criteres!A18)</f>
        <v>D2C8</v>
      </c>
      <c r="B57" s="5" t="str">
        <f>IF($A57="","",P_Criteres!B18)</f>
        <v>D2</v>
      </c>
      <c r="C57" s="5" t="str">
        <f>IF($A57="","",P_Criteres!C18)</f>
        <v>Chaîne d'autorisations (complétude)</v>
      </c>
      <c r="D57" s="5" t="str">
        <f>IF($A57="","",P_Criteres!F18)</f>
        <v>authorization_completeness_pct</v>
      </c>
      <c r="E57" s="5">
        <f>IF($A57="","",IFERROR(INDEX(In_Retenue,MATCH($D57,In_Cles,0)),""))</f>
        <v>100.0</v>
      </c>
      <c r="F57" s="34">
        <f>IF($A57="",0,ROUND(MIN(P_Scale,MAX(0,IF($L57=0,$K57,$M57))),2))</f>
        <v>10.0</v>
      </c>
      <c r="G57" s="34">
        <f>IF($A57="",0,P_Criteres!E18)</f>
        <v>0.1</v>
      </c>
      <c r="H57" s="34">
        <f>ROUND(F57*G57,2)</f>
        <v>1.0</v>
      </c>
      <c r="I57" s="5" t="b">
        <f>IF($A57="",FALSE,AND(P_Criteres!G18="Oui",ISNUMBER(P_Criteres!H18),F57&lt;=N(P_Criteres!H18)))</f>
        <v>0</v>
      </c>
      <c r="J57" s="5" t="b">
        <f>IF($A57="",FALSE,AND(OR(P_Criteres!G18="Oui",P_Criteres!K18="Oui"),$E57=""))</f>
        <v>0</v>
      </c>
      <c r="K57" s="34">
        <f t="array" ref="K57">IF($A57="",0,MIN(IF(P_Baremes!$A$5:$A$400=$A57,P_Baremes!$H$5:$H$400)))</f>
        <v>1.0</v>
      </c>
      <c r="L57" s="34">
        <f>IF($A57="",0,IF($O57="NUM",IF(ISNUMBER($E57),SUMPRODUCT((P_Baremes!$A$5:$A$400=$A57)*(P_Baremes!$B$5:$B$400="PLAGE")*(((P_Baremes!$D$5:$D$400="")+($E57&gt;=P_Baremes!$D$5:$D$400))&gt;0)*(((P_Baremes!$E$5:$E$400="")+($E57&lt;P_Baremes!$E$5:$E$400))&gt;0)),0),SUMPRODUCT((P_Baremes!$A$5:$A$400=$A57)*(P_Baremes!$B$5:$B$400="MODALITE")*(P_Baremes!$C$5:$C$400=$E57))))</f>
        <v>1.0</v>
      </c>
      <c r="M57" s="34">
        <f>IF($A57="",0,IF($L57=0,0,IF($O57="NUM",SUMPRODUCT((P_Baremes!$A$5:$A$400=$A57)*(P_Baremes!$B$5:$B$400="PLAGE")*(((P_Baremes!$D$5:$D$400="")+($E57&gt;=P_Baremes!$D$5:$D$400))&gt;0)*(((P_Baremes!$E$5:$E$400="")+($E57&lt;P_Baremes!$E$5:$E$400))&gt;0)*P_Baremes!$H$5:$H$400),SUMPRODUCT((P_Baremes!$A$5:$A$400=$A57)*(P_Baremes!$B$5:$B$400="MODALITE")*(P_Baremes!$C$5:$C$400=$E57)*P_Baremes!$H$5:$H$400))))</f>
        <v>10.0</v>
      </c>
      <c r="N57" s="5" t="str">
        <f>IF($A57="","",P_Criteres!J18)</f>
        <v>ECONOMIC</v>
      </c>
      <c r="O57" s="5" t="str">
        <f>IF($A57="","",P_Criteres!D18)</f>
        <v>NUM</v>
      </c>
      <c r="P57" s="34">
        <f>IF($A57="",0,IFERROR(INDEX(P_DomPoids,MATCH($B57,P_DomCodes,0)),0))</f>
        <v>0.2</v>
      </c>
      <c r="Q57" s="34">
        <f>P57*G57</f>
        <v>0.020000000000000004</v>
      </c>
      <c r="R57" s="5">
        <f>IF(J57,IF(ISNUMBER(SEARCH(","&amp;D57&amp;",",","&amp;R56&amp;",")),R56,R56&amp;IF(R56="","",",")&amp;D57),R56)</f>
        <v/>
      </c>
      <c r="S57" s="5">
        <f>IF(I57,S56&amp;IF(S56="","","; ")&amp;"Lever la condition « "&amp;C57&amp;" » avant "&amp;SUBSTITUTE(LOWER(IF(P_Criteres!I18="","TIRAGE",P_Criteres!I18)),"etude","étude"),S56)</f>
        <v/>
      </c>
      <c r="T57" s="5">
        <f>IF(AND(J57,NOT(ISNUMBER(SEARCH(","&amp;D57&amp;",",","&amp;R56&amp;",")))),T56&amp;IF(T56="","",", ")&amp;IFERROR(INDEX(Saisie!$C$13:$C$92,MATCH(D57,In_Cles,0)),D57),T56)</f>
        <v/>
      </c>
      <c r="U57" s="48">
        <f>IF(OR($A57="",N(G57)&lt;=0),"",F57+ROW()/1000000)</f>
        <v>10.000057</v>
      </c>
      <c r="V57" s="5">
        <f>IF($A57="","",IF($E57="","(non renseignée)",IF($O57="QUAL",IFERROR(INDEX(P_Baremes!$F$5:$F$400,SUMPRODUCT(MAX((P_Baremes!$A$5:$A$400=$A57)*(P_Baremes!$B$5:$B$400="MODALITE")*(P_Baremes!$C$5:$C$400=$E57)*(ROW(P_Baremes!$A$5:$A$400)-4)))),$E57),$E57)))</f>
        <v>100.0</v>
      </c>
    </row>
    <row r="58" spans="1:22">
      <c r="A58" s="5" t="str">
        <f>IF(P_Criteres!A19="","",P_Criteres!A19)</f>
        <v>D2C9</v>
      </c>
      <c r="B58" s="5" t="str">
        <f>IF($A58="","",P_Criteres!B19)</f>
        <v>D2</v>
      </c>
      <c r="C58" s="5" t="str">
        <f>IF($A58="","",P_Criteres!C19)</f>
        <v>Tension du marché régional</v>
      </c>
      <c r="D58" s="5" t="str">
        <f>IF($A58="","",P_Criteres!F19)</f>
        <v>regional_market_tension</v>
      </c>
      <c r="E58" s="5" t="str">
        <f>IF($A58="","",IFERROR(INDEX(In_Retenue,MATCH($D58,In_Cles,0)),""))</f>
        <v>porteur</v>
      </c>
      <c r="F58" s="34">
        <f>IF($A58="",0,ROUND(MIN(P_Scale,MAX(0,IF($L58=0,$K58,$M58))),2))</f>
        <v>10.0</v>
      </c>
      <c r="G58" s="34">
        <f>IF($A58="",0,P_Criteres!E19)</f>
        <v>0.1</v>
      </c>
      <c r="H58" s="34">
        <f>ROUND(F58*G58,2)</f>
        <v>1.0</v>
      </c>
      <c r="I58" s="5" t="b">
        <f>IF($A58="",FALSE,AND(P_Criteres!G19="Oui",ISNUMBER(P_Criteres!H19),F58&lt;=N(P_Criteres!H19)))</f>
        <v>0</v>
      </c>
      <c r="J58" s="5" t="b">
        <f>IF($A58="",FALSE,AND(OR(P_Criteres!G19="Oui",P_Criteres!K19="Oui"),$E58=""))</f>
        <v>0</v>
      </c>
      <c r="K58" s="34">
        <f t="array" ref="K58">IF($A58="",0,MIN(IF(P_Baremes!$A$5:$A$400=$A58,P_Baremes!$H$5:$H$400)))</f>
        <v>2.0</v>
      </c>
      <c r="L58" s="34">
        <f>IF($A58="",0,IF($O58="NUM",IF(ISNUMBER($E58),SUMPRODUCT((P_Baremes!$A$5:$A$400=$A58)*(P_Baremes!$B$5:$B$400="PLAGE")*(((P_Baremes!$D$5:$D$400="")+($E58&gt;=P_Baremes!$D$5:$D$400))&gt;0)*(((P_Baremes!$E$5:$E$400="")+($E58&lt;P_Baremes!$E$5:$E$400))&gt;0)),0),SUMPRODUCT((P_Baremes!$A$5:$A$400=$A58)*(P_Baremes!$B$5:$B$400="MODALITE")*(P_Baremes!$C$5:$C$400=$E58))))</f>
        <v>1.0</v>
      </c>
      <c r="M58" s="34">
        <f>IF($A58="",0,IF($L58=0,0,IF($O58="NUM",SUMPRODUCT((P_Baremes!$A$5:$A$400=$A58)*(P_Baremes!$B$5:$B$400="PLAGE")*(((P_Baremes!$D$5:$D$400="")+($E58&gt;=P_Baremes!$D$5:$D$400))&gt;0)*(((P_Baremes!$E$5:$E$400="")+($E58&lt;P_Baremes!$E$5:$E$400))&gt;0)*P_Baremes!$H$5:$H$400),SUMPRODUCT((P_Baremes!$A$5:$A$400=$A58)*(P_Baremes!$B$5:$B$400="MODALITE")*(P_Baremes!$C$5:$C$400=$E58)*P_Baremes!$H$5:$H$400))))</f>
        <v>10.0</v>
      </c>
      <c r="N58" s="5" t="str">
        <f>IF($A58="","",P_Criteres!J19)</f>
        <v>ECONOMIC</v>
      </c>
      <c r="O58" s="5" t="str">
        <f>IF($A58="","",P_Criteres!D19)</f>
        <v>QUAL</v>
      </c>
      <c r="P58" s="34">
        <f>IF($A58="",0,IFERROR(INDEX(P_DomPoids,MATCH($B58,P_DomCodes,0)),0))</f>
        <v>0.2</v>
      </c>
      <c r="Q58" s="34">
        <f>P58*G58</f>
        <v>0.020000000000000004</v>
      </c>
      <c r="R58" s="5">
        <f>IF(J58,IF(ISNUMBER(SEARCH(","&amp;D58&amp;",",","&amp;R57&amp;",")),R57,R57&amp;IF(R57="","",",")&amp;D58),R57)</f>
        <v/>
      </c>
      <c r="S58" s="5">
        <f>IF(I58,S57&amp;IF(S57="","","; ")&amp;"Lever la condition « "&amp;C58&amp;" » avant "&amp;SUBSTITUTE(LOWER(IF(P_Criteres!I19="","TIRAGE",P_Criteres!I19)),"etude","étude"),S57)</f>
        <v/>
      </c>
      <c r="T58" s="5">
        <f>IF(AND(J58,NOT(ISNUMBER(SEARCH(","&amp;D58&amp;",",","&amp;R57&amp;",")))),T57&amp;IF(T57="","",", ")&amp;IFERROR(INDEX(Saisie!$C$13:$C$92,MATCH(D58,In_Cles,0)),D58),T57)</f>
        <v/>
      </c>
      <c r="U58" s="48">
        <f>IF(OR($A58="",N(G58)&lt;=0),"",F58+ROW()/1000000)</f>
        <v>10.000058</v>
      </c>
      <c r="V58" s="5" t="str">
        <f>IF($A58="","",IF($E58="","(non renseignée)",IF($O58="QUAL",IFERROR(INDEX(P_Baremes!$F$5:$F$400,SUMPRODUCT(MAX((P_Baremes!$A$5:$A$400=$A58)*(P_Baremes!$B$5:$B$400="MODALITE")*(P_Baremes!$C$5:$C$400=$E58)*(ROW(P_Baremes!$A$5:$A$400)-4)))),$E58),$E58)))</f>
        <v>Marché porteur (demande soutenue)</v>
      </c>
    </row>
    <row r="59" spans="1:22">
      <c r="A59" s="5" t="str">
        <f>IF(P_Criteres!A20="","",P_Criteres!A20)</f>
        <v>D2C10</v>
      </c>
      <c r="B59" s="5" t="str">
        <f>IF($A59="","",P_Criteres!B20)</f>
        <v>D2</v>
      </c>
      <c r="C59" s="5" t="str">
        <f>IF($A59="","",P_Criteres!C20)</f>
        <v>Entreprise de travaux et garanties de marché</v>
      </c>
      <c r="D59" s="5" t="str">
        <f>IF($A59="","",P_Criteres!F20)</f>
        <v>contractor_quality</v>
      </c>
      <c r="E59" s="5" t="str">
        <f>IF($A59="","",IFERROR(INDEX(In_Retenue,MATCH($D59,In_Cles,0)),""))</f>
        <v>qualifiee_garantie</v>
      </c>
      <c r="F59" s="34">
        <f>IF($A59="",0,ROUND(MIN(P_Scale,MAX(0,IF($L59=0,$K59,$M59))),2))</f>
        <v>10.0</v>
      </c>
      <c r="G59" s="34">
        <f>IF($A59="",0,P_Criteres!E20)</f>
        <v>0.1</v>
      </c>
      <c r="H59" s="34">
        <f>ROUND(F59*G59,2)</f>
        <v>1.0</v>
      </c>
      <c r="I59" s="5" t="b">
        <f>IF($A59="",FALSE,AND(P_Criteres!G20="Oui",ISNUMBER(P_Criteres!H20),F59&lt;=N(P_Criteres!H20)))</f>
        <v>0</v>
      </c>
      <c r="J59" s="5" t="b">
        <f>IF($A59="",FALSE,AND(OR(P_Criteres!G20="Oui",P_Criteres!K20="Oui"),$E59=""))</f>
        <v>0</v>
      </c>
      <c r="K59" s="34">
        <f t="array" ref="K59">IF($A59="",0,MIN(IF(P_Baremes!$A$5:$A$400=$A59,P_Baremes!$H$5:$H$400)))</f>
        <v>2.0</v>
      </c>
      <c r="L59" s="34">
        <f>IF($A59="",0,IF($O59="NUM",IF(ISNUMBER($E59),SUMPRODUCT((P_Baremes!$A$5:$A$400=$A59)*(P_Baremes!$B$5:$B$400="PLAGE")*(((P_Baremes!$D$5:$D$400="")+($E59&gt;=P_Baremes!$D$5:$D$400))&gt;0)*(((P_Baremes!$E$5:$E$400="")+($E59&lt;P_Baremes!$E$5:$E$400))&gt;0)),0),SUMPRODUCT((P_Baremes!$A$5:$A$400=$A59)*(P_Baremes!$B$5:$B$400="MODALITE")*(P_Baremes!$C$5:$C$400=$E59))))</f>
        <v>1.0</v>
      </c>
      <c r="M59" s="34">
        <f>IF($A59="",0,IF($L59=0,0,IF($O59="NUM",SUMPRODUCT((P_Baremes!$A$5:$A$400=$A59)*(P_Baremes!$B$5:$B$400="PLAGE")*(((P_Baremes!$D$5:$D$400="")+($E59&gt;=P_Baremes!$D$5:$D$400))&gt;0)*(((P_Baremes!$E$5:$E$400="")+($E59&lt;P_Baremes!$E$5:$E$400))&gt;0)*P_Baremes!$H$5:$H$400),SUMPRODUCT((P_Baremes!$A$5:$A$400=$A59)*(P_Baremes!$B$5:$B$400="MODALITE")*(P_Baremes!$C$5:$C$400=$E59)*P_Baremes!$H$5:$H$400))))</f>
        <v>10.0</v>
      </c>
      <c r="N59" s="5" t="str">
        <f>IF($A59="","",P_Criteres!J20)</f>
        <v>ECONOMIC</v>
      </c>
      <c r="O59" s="5" t="str">
        <f>IF($A59="","",P_Criteres!D20)</f>
        <v>QUAL</v>
      </c>
      <c r="P59" s="34">
        <f>IF($A59="",0,IFERROR(INDEX(P_DomPoids,MATCH($B59,P_DomCodes,0)),0))</f>
        <v>0.2</v>
      </c>
      <c r="Q59" s="34">
        <f>P59*G59</f>
        <v>0.020000000000000004</v>
      </c>
      <c r="R59" s="5">
        <f>IF(J59,IF(ISNUMBER(SEARCH(","&amp;D59&amp;",",","&amp;R58&amp;",")),R58,R58&amp;IF(R58="","",",")&amp;D59),R58)</f>
        <v/>
      </c>
      <c r="S59" s="5">
        <f>IF(I59,S58&amp;IF(S58="","","; ")&amp;"Lever la condition « "&amp;C59&amp;" » avant "&amp;SUBSTITUTE(LOWER(IF(P_Criteres!I20="","TIRAGE",P_Criteres!I20)),"etude","étude"),S58)</f>
        <v/>
      </c>
      <c r="T59" s="5">
        <f>IF(AND(J59,NOT(ISNUMBER(SEARCH(","&amp;D59&amp;",",","&amp;R58&amp;",")))),T58&amp;IF(T58="","",", ")&amp;IFERROR(INDEX(Saisie!$C$13:$C$92,MATCH(D59,In_Cles,0)),D59),T58)</f>
        <v/>
      </c>
      <c r="U59" s="48">
        <f>IF(OR($A59="",N(G59)&lt;=0),"",F59+ROW()/1000000)</f>
        <v>10.000059</v>
      </c>
      <c r="V59" s="5" t="str">
        <f>IF($A59="","",IF($E59="","(non renseignée)",IF($O59="QUAL",IFERROR(INDEX(P_Baremes!$F$5:$F$400,SUMPRODUCT(MAX((P_Baremes!$A$5:$A$400=$A59)*(P_Baremes!$B$5:$B$400="MODALITE")*(P_Baremes!$C$5:$C$400=$E59)*(ROW(P_Baremes!$A$5:$A$400)-4)))),$E59),$E59)))</f>
        <v>Entreprise qualifiée et classée, marché forfaitaire avec caution de bonne exécution et retenue de garantie</v>
      </c>
    </row>
    <row r="60" spans="1:22">
      <c r="A60" s="5" t="str">
        <f>IF(P_Criteres!A21="","",P_Criteres!A21)</f>
        <v>D2C11</v>
      </c>
      <c r="B60" s="5" t="str">
        <f>IF($A60="","",P_Criteres!B21)</f>
        <v>D2</v>
      </c>
      <c r="C60" s="5" t="str">
        <f>IF($A60="","",P_Criteres!C21)</f>
        <v>Équipements exigés non budgétés (% du coût)</v>
      </c>
      <c r="D60" s="5" t="str">
        <f>IF($A60="","",P_Criteres!F21)</f>
        <v>equipment_unbudgeted_pct</v>
      </c>
      <c r="E60" s="5">
        <f>IF($A60="","",IFERROR(INDEX(In_Retenue,MATCH($D60,In_Cles,0)),""))</f>
        <v>0.0</v>
      </c>
      <c r="F60" s="34">
        <f>IF($A60="",0,ROUND(MIN(P_Scale,MAX(0,IF($L60=0,$K60,$M60))),2))</f>
        <v>10.0</v>
      </c>
      <c r="G60" s="34">
        <f>IF($A60="",0,P_Criteres!E21)</f>
        <v>0.05</v>
      </c>
      <c r="H60" s="34">
        <f>ROUND(F60*G60,2)</f>
        <v>0.5</v>
      </c>
      <c r="I60" s="5" t="b">
        <f>IF($A60="",FALSE,AND(P_Criteres!G21="Oui",ISNUMBER(P_Criteres!H21),F60&lt;=N(P_Criteres!H21)))</f>
        <v>0</v>
      </c>
      <c r="J60" s="5" t="b">
        <f>IF($A60="",FALSE,AND(OR(P_Criteres!G21="Oui",P_Criteres!K21="Oui"),$E60=""))</f>
        <v>0</v>
      </c>
      <c r="K60" s="34">
        <f t="array" ref="K60">IF($A60="",0,MIN(IF(P_Baremes!$A$5:$A$400=$A60,P_Baremes!$H$5:$H$400)))</f>
        <v>1.0</v>
      </c>
      <c r="L60" s="34">
        <f>IF($A60="",0,IF($O60="NUM",IF(ISNUMBER($E60),SUMPRODUCT((P_Baremes!$A$5:$A$400=$A60)*(P_Baremes!$B$5:$B$400="PLAGE")*(((P_Baremes!$D$5:$D$400="")+($E60&gt;=P_Baremes!$D$5:$D$400))&gt;0)*(((P_Baremes!$E$5:$E$400="")+($E60&lt;P_Baremes!$E$5:$E$400))&gt;0)),0),SUMPRODUCT((P_Baremes!$A$5:$A$400=$A60)*(P_Baremes!$B$5:$B$400="MODALITE")*(P_Baremes!$C$5:$C$400=$E60))))</f>
        <v>1.0</v>
      </c>
      <c r="M60" s="34">
        <f>IF($A60="",0,IF($L60=0,0,IF($O60="NUM",SUMPRODUCT((P_Baremes!$A$5:$A$400=$A60)*(P_Baremes!$B$5:$B$400="PLAGE")*(((P_Baremes!$D$5:$D$400="")+($E60&gt;=P_Baremes!$D$5:$D$400))&gt;0)*(((P_Baremes!$E$5:$E$400="")+($E60&lt;P_Baremes!$E$5:$E$400))&gt;0)*P_Baremes!$H$5:$H$400),SUMPRODUCT((P_Baremes!$A$5:$A$400=$A60)*(P_Baremes!$B$5:$B$400="MODALITE")*(P_Baremes!$C$5:$C$400=$E60)*P_Baremes!$H$5:$H$400))))</f>
        <v>10.0</v>
      </c>
      <c r="N60" s="5" t="str">
        <f>IF($A60="","",P_Criteres!J21)</f>
        <v>ECONOMIC</v>
      </c>
      <c r="O60" s="5" t="str">
        <f>IF($A60="","",P_Criteres!D21)</f>
        <v>NUM</v>
      </c>
      <c r="P60" s="34">
        <f>IF($A60="",0,IFERROR(INDEX(P_DomPoids,MATCH($B60,P_DomCodes,0)),0))</f>
        <v>0.2</v>
      </c>
      <c r="Q60" s="34">
        <f>P60*G60</f>
        <v>0.010000000000000002</v>
      </c>
      <c r="R60" s="5">
        <f>IF(J60,IF(ISNUMBER(SEARCH(","&amp;D60&amp;",",","&amp;R59&amp;",")),R59,R59&amp;IF(R59="","",",")&amp;D60),R59)</f>
        <v/>
      </c>
      <c r="S60" s="5">
        <f>IF(I60,S59&amp;IF(S59="","","; ")&amp;"Lever la condition « "&amp;C60&amp;" » avant "&amp;SUBSTITUTE(LOWER(IF(P_Criteres!I21="","TIRAGE",P_Criteres!I21)),"etude","étude"),S59)</f>
        <v/>
      </c>
      <c r="T60" s="5">
        <f>IF(AND(J60,NOT(ISNUMBER(SEARCH(","&amp;D60&amp;",",","&amp;R59&amp;",")))),T59&amp;IF(T59="","",", ")&amp;IFERROR(INDEX(Saisie!$C$13:$C$92,MATCH(D60,In_Cles,0)),D60),T59)</f>
        <v/>
      </c>
      <c r="U60" s="48">
        <f>IF(OR($A60="",N(G60)&lt;=0),"",F60+ROW()/1000000)</f>
        <v>10.00006</v>
      </c>
      <c r="V60" s="5">
        <f>IF($A60="","",IF($E60="","(non renseignée)",IF($O60="QUAL",IFERROR(INDEX(P_Baremes!$F$5:$F$400,SUMPRODUCT(MAX((P_Baremes!$A$5:$A$400=$A60)*(P_Baremes!$B$5:$B$400="MODALITE")*(P_Baremes!$C$5:$C$400=$E60)*(ROW(P_Baremes!$A$5:$A$400)-4)))),$E60),$E60)))</f>
        <v>0.0</v>
      </c>
    </row>
    <row r="61" spans="1:22">
      <c r="A61" s="5" t="str">
        <f>IF(P_Criteres!A22="","",P_Criteres!A22)</f>
        <v>D2C12</v>
      </c>
      <c r="B61" s="5" t="str">
        <f>IF($A61="","",P_Criteres!B22)</f>
        <v>D2</v>
      </c>
      <c r="C61" s="5" t="str">
        <f>IF($A61="","",P_Criteres!C22)</f>
        <v>Autonomie du périmètre financé (tranche)</v>
      </c>
      <c r="D61" s="5" t="str">
        <f>IF($A61="","",P_Criteres!F22)</f>
        <v>tranche_dependency</v>
      </c>
      <c r="E61" s="5" t="str">
        <f>IF($A61="","",IFERROR(INDEX(In_Retenue,MATCH($D61,In_Cles,0)),""))</f>
        <v>programme_entier</v>
      </c>
      <c r="F61" s="34">
        <f>IF($A61="",0,ROUND(MIN(P_Scale,MAX(0,IF($L61=0,$K61,$M61))),2))</f>
        <v>10.0</v>
      </c>
      <c r="G61" s="34">
        <f>IF($A61="",0,P_Criteres!E22)</f>
        <v>0.05</v>
      </c>
      <c r="H61" s="34">
        <f>ROUND(F61*G61,2)</f>
        <v>0.5</v>
      </c>
      <c r="I61" s="5" t="b">
        <f>IF($A61="",FALSE,AND(P_Criteres!G22="Oui",ISNUMBER(P_Criteres!H22),F61&lt;=N(P_Criteres!H22)))</f>
        <v>0</v>
      </c>
      <c r="J61" s="5" t="b">
        <f>IF($A61="",FALSE,AND(OR(P_Criteres!G22="Oui",P_Criteres!K22="Oui"),$E61=""))</f>
        <v>0</v>
      </c>
      <c r="K61" s="34">
        <f t="array" ref="K61">IF($A61="",0,MIN(IF(P_Baremes!$A$5:$A$400=$A61,P_Baremes!$H$5:$H$400)))</f>
        <v>1.0</v>
      </c>
      <c r="L61" s="34">
        <f>IF($A61="",0,IF($O61="NUM",IF(ISNUMBER($E61),SUMPRODUCT((P_Baremes!$A$5:$A$400=$A61)*(P_Baremes!$B$5:$B$400="PLAGE")*(((P_Baremes!$D$5:$D$400="")+($E61&gt;=P_Baremes!$D$5:$D$400))&gt;0)*(((P_Baremes!$E$5:$E$400="")+($E61&lt;P_Baremes!$E$5:$E$400))&gt;0)),0),SUMPRODUCT((P_Baremes!$A$5:$A$400=$A61)*(P_Baremes!$B$5:$B$400="MODALITE")*(P_Baremes!$C$5:$C$400=$E61))))</f>
        <v>1.0</v>
      </c>
      <c r="M61" s="34">
        <f>IF($A61="",0,IF($L61=0,0,IF($O61="NUM",SUMPRODUCT((P_Baremes!$A$5:$A$400=$A61)*(P_Baremes!$B$5:$B$400="PLAGE")*(((P_Baremes!$D$5:$D$400="")+($E61&gt;=P_Baremes!$D$5:$D$400))&gt;0)*(((P_Baremes!$E$5:$E$400="")+($E61&lt;P_Baremes!$E$5:$E$400))&gt;0)*P_Baremes!$H$5:$H$400),SUMPRODUCT((P_Baremes!$A$5:$A$400=$A61)*(P_Baremes!$B$5:$B$400="MODALITE")*(P_Baremes!$C$5:$C$400=$E61)*P_Baremes!$H$5:$H$400))))</f>
        <v>10.0</v>
      </c>
      <c r="N61" s="5" t="str">
        <f>IF($A61="","",P_Criteres!J22)</f>
        <v>ECONOMIC</v>
      </c>
      <c r="O61" s="5" t="str">
        <f>IF($A61="","",P_Criteres!D22)</f>
        <v>QUAL</v>
      </c>
      <c r="P61" s="34">
        <f>IF($A61="",0,IFERROR(INDEX(P_DomPoids,MATCH($B61,P_DomCodes,0)),0))</f>
        <v>0.2</v>
      </c>
      <c r="Q61" s="34">
        <f>P61*G61</f>
        <v>0.010000000000000002</v>
      </c>
      <c r="R61" s="5">
        <f>IF(J61,IF(ISNUMBER(SEARCH(","&amp;D61&amp;",",","&amp;R60&amp;",")),R60,R60&amp;IF(R60="","",",")&amp;D61),R60)</f>
        <v/>
      </c>
      <c r="S61" s="5">
        <f>IF(I61,S60&amp;IF(S60="","","; ")&amp;"Lever la condition « "&amp;C61&amp;" » avant "&amp;SUBSTITUTE(LOWER(IF(P_Criteres!I22="","TIRAGE",P_Criteres!I22)),"etude","étude"),S60)</f>
        <v/>
      </c>
      <c r="T61" s="5">
        <f>IF(AND(J61,NOT(ISNUMBER(SEARCH(","&amp;D61&amp;",",","&amp;R60&amp;",")))),T60&amp;IF(T60="","",", ")&amp;IFERROR(INDEX(Saisie!$C$13:$C$92,MATCH(D61,In_Cles,0)),D61),T60)</f>
        <v/>
      </c>
      <c r="U61" s="48">
        <f>IF(OR($A61="",N(G61)&lt;=0),"",F61+ROW()/1000000)</f>
        <v>10.000061</v>
      </c>
      <c r="V61" s="5" t="str">
        <f>IF($A61="","",IF($E61="","(non renseignée)",IF($O61="QUAL",IFERROR(INDEX(P_Baremes!$F$5:$F$400,SUMPRODUCT(MAX((P_Baremes!$A$5:$A$400=$A61)*(P_Baremes!$B$5:$B$400="MODALITE")*(P_Baremes!$C$5:$C$400=$E61)*(ROW(P_Baremes!$A$5:$A$400)-4)))),$E61),$E61)))</f>
        <v>Financement du programme entier</v>
      </c>
    </row>
    <row r="62" spans="1:22">
      <c r="A62" s="5" t="str">
        <f>IF(P_Criteres!A23="","",P_Criteres!A23)</f>
        <v>D3C1</v>
      </c>
      <c r="B62" s="5" t="str">
        <f>IF($A62="","",P_Criteres!B23)</f>
        <v>D3</v>
      </c>
      <c r="C62" s="5" t="str">
        <f>IF($A62="","",P_Criteres!C23)</f>
        <v>Préventes sécurisées (encaissées / CA)</v>
      </c>
      <c r="D62" s="5" t="str">
        <f>IF($A62="","",P_Criteres!F23)</f>
        <v>pre_sale_rate</v>
      </c>
      <c r="E62" s="5">
        <f>IF($A62="","",IFERROR(INDEX(In_Retenue,MATCH($D62,In_Cles,0)),""))</f>
        <v>62.0</v>
      </c>
      <c r="F62" s="34">
        <f>IF($A62="",0,ROUND(MIN(P_Scale,MAX(0,IF($L62=0,$K62,$M62))),2))</f>
        <v>10.0</v>
      </c>
      <c r="G62" s="34">
        <f>IF($A62="",0,P_Criteres!E23)</f>
        <v>0.15</v>
      </c>
      <c r="H62" s="34">
        <f>ROUND(F62*G62,2)</f>
        <v>1.5</v>
      </c>
      <c r="I62" s="5" t="b">
        <f>IF($A62="",FALSE,AND(P_Criteres!G23="Oui",ISNUMBER(P_Criteres!H23),F62&lt;=N(P_Criteres!H23)))</f>
        <v>0</v>
      </c>
      <c r="J62" s="5" t="b">
        <f>IF($A62="",FALSE,AND(OR(P_Criteres!G23="Oui",P_Criteres!K23="Oui"),$E62=""))</f>
        <v>0</v>
      </c>
      <c r="K62" s="34">
        <f t="array" ref="K62">IF($A62="",0,MIN(IF(P_Baremes!$A$5:$A$400=$A62,P_Baremes!$H$5:$H$400)))</f>
        <v>1.0</v>
      </c>
      <c r="L62" s="34">
        <f>IF($A62="",0,IF($O62="NUM",IF(ISNUMBER($E62),SUMPRODUCT((P_Baremes!$A$5:$A$400=$A62)*(P_Baremes!$B$5:$B$400="PLAGE")*(((P_Baremes!$D$5:$D$400="")+($E62&gt;=P_Baremes!$D$5:$D$400))&gt;0)*(((P_Baremes!$E$5:$E$400="")+($E62&lt;P_Baremes!$E$5:$E$400))&gt;0)),0),SUMPRODUCT((P_Baremes!$A$5:$A$400=$A62)*(P_Baremes!$B$5:$B$400="MODALITE")*(P_Baremes!$C$5:$C$400=$E62))))</f>
        <v>1.0</v>
      </c>
      <c r="M62" s="34">
        <f>IF($A62="",0,IF($L62=0,0,IF($O62="NUM",SUMPRODUCT((P_Baremes!$A$5:$A$400=$A62)*(P_Baremes!$B$5:$B$400="PLAGE")*(((P_Baremes!$D$5:$D$400="")+($E62&gt;=P_Baremes!$D$5:$D$400))&gt;0)*(((P_Baremes!$E$5:$E$400="")+($E62&lt;P_Baremes!$E$5:$E$400))&gt;0)*P_Baremes!$H$5:$H$400),SUMPRODUCT((P_Baremes!$A$5:$A$400=$A62)*(P_Baremes!$B$5:$B$400="MODALITE")*(P_Baremes!$C$5:$C$400=$E62)*P_Baremes!$H$5:$H$400))))</f>
        <v>10.0</v>
      </c>
      <c r="N62" s="5" t="str">
        <f>IF($A62="","",P_Criteres!J23)</f>
        <v>ECONOMIC</v>
      </c>
      <c r="O62" s="5" t="str">
        <f>IF($A62="","",P_Criteres!D23)</f>
        <v>NUM</v>
      </c>
      <c r="P62" s="34">
        <f>IF($A62="",0,IFERROR(INDEX(P_DomPoids,MATCH($B62,P_DomCodes,0)),0))</f>
        <v>0.31</v>
      </c>
      <c r="Q62" s="34">
        <f>P62*G62</f>
        <v>0.0465</v>
      </c>
      <c r="R62" s="5">
        <f>IF(J62,IF(ISNUMBER(SEARCH(","&amp;D62&amp;",",","&amp;R61&amp;",")),R61,R61&amp;IF(R61="","",",")&amp;D62),R61)</f>
        <v/>
      </c>
      <c r="S62" s="5">
        <f>IF(I62,S61&amp;IF(S61="","","; ")&amp;"Lever la condition « "&amp;C62&amp;" » avant "&amp;SUBSTITUTE(LOWER(IF(P_Criteres!I23="","TIRAGE",P_Criteres!I23)),"etude","étude"),S61)</f>
        <v/>
      </c>
      <c r="T62" s="5">
        <f>IF(AND(J62,NOT(ISNUMBER(SEARCH(","&amp;D62&amp;",",","&amp;R61&amp;",")))),T61&amp;IF(T61="","",", ")&amp;IFERROR(INDEX(Saisie!$C$13:$C$92,MATCH(D62,In_Cles,0)),D62),T61)</f>
        <v/>
      </c>
      <c r="U62" s="48">
        <f>IF(OR($A62="",N(G62)&lt;=0),"",F62+ROW()/1000000)</f>
        <v>10.000062</v>
      </c>
      <c r="V62" s="5">
        <f>IF($A62="","",IF($E62="","(non renseignée)",IF($O62="QUAL",IFERROR(INDEX(P_Baremes!$F$5:$F$400,SUMPRODUCT(MAX((P_Baremes!$A$5:$A$400=$A62)*(P_Baremes!$B$5:$B$400="MODALITE")*(P_Baremes!$C$5:$C$400=$E62)*(ROW(P_Baremes!$A$5:$A$400)-4)))),$E62),$E62)))</f>
        <v>62.0</v>
      </c>
    </row>
    <row r="63" spans="1:22">
      <c r="A63" s="5" t="str">
        <f>IF(P_Criteres!A24="","",P_Criteres!A24)</f>
        <v>D3C2</v>
      </c>
      <c r="B63" s="5" t="str">
        <f>IF($A63="","",P_Criteres!B24)</f>
        <v>D3</v>
      </c>
      <c r="C63" s="5" t="str">
        <f>IF($A63="","",P_Criteres!C24)</f>
        <v>Ventes vs planning</v>
      </c>
      <c r="D63" s="5" t="str">
        <f>IF($A63="","",P_Criteres!F24)</f>
        <v>sales_vs_plan</v>
      </c>
      <c r="E63" s="5">
        <f>IF($A63="","",IFERROR(INDEX(In_Retenue,MATCH($D63,In_Cles,0)),""))</f>
        <v>100.0</v>
      </c>
      <c r="F63" s="34">
        <f>IF($A63="",0,ROUND(MIN(P_Scale,MAX(0,IF($L63=0,$K63,$M63))),2))</f>
        <v>10.0</v>
      </c>
      <c r="G63" s="34">
        <f>IF($A63="",0,P_Criteres!E24)</f>
        <v>0.1</v>
      </c>
      <c r="H63" s="34">
        <f>ROUND(F63*G63,2)</f>
        <v>1.0</v>
      </c>
      <c r="I63" s="5" t="b">
        <f>IF($A63="",FALSE,AND(P_Criteres!G24="Oui",ISNUMBER(P_Criteres!H24),F63&lt;=N(P_Criteres!H24)))</f>
        <v>0</v>
      </c>
      <c r="J63" s="5" t="b">
        <f>IF($A63="",FALSE,AND(OR(P_Criteres!G24="Oui",P_Criteres!K24="Oui"),$E63=""))</f>
        <v>0</v>
      </c>
      <c r="K63" s="34">
        <f t="array" ref="K63">IF($A63="",0,MIN(IF(P_Baremes!$A$5:$A$400=$A63,P_Baremes!$H$5:$H$400)))</f>
        <v>1.0</v>
      </c>
      <c r="L63" s="34">
        <f>IF($A63="",0,IF($O63="NUM",IF(ISNUMBER($E63),SUMPRODUCT((P_Baremes!$A$5:$A$400=$A63)*(P_Baremes!$B$5:$B$400="PLAGE")*(((P_Baremes!$D$5:$D$400="")+($E63&gt;=P_Baremes!$D$5:$D$400))&gt;0)*(((P_Baremes!$E$5:$E$400="")+($E63&lt;P_Baremes!$E$5:$E$400))&gt;0)),0),SUMPRODUCT((P_Baremes!$A$5:$A$400=$A63)*(P_Baremes!$B$5:$B$400="MODALITE")*(P_Baremes!$C$5:$C$400=$E63))))</f>
        <v>1.0</v>
      </c>
      <c r="M63" s="34">
        <f>IF($A63="",0,IF($L63=0,0,IF($O63="NUM",SUMPRODUCT((P_Baremes!$A$5:$A$400=$A63)*(P_Baremes!$B$5:$B$400="PLAGE")*(((P_Baremes!$D$5:$D$400="")+($E63&gt;=P_Baremes!$D$5:$D$400))&gt;0)*(((P_Baremes!$E$5:$E$400="")+($E63&lt;P_Baremes!$E$5:$E$400))&gt;0)*P_Baremes!$H$5:$H$400),SUMPRODUCT((P_Baremes!$A$5:$A$400=$A63)*(P_Baremes!$B$5:$B$400="MODALITE")*(P_Baremes!$C$5:$C$400=$E63)*P_Baremes!$H$5:$H$400))))</f>
        <v>10.0</v>
      </c>
      <c r="N63" s="5" t="str">
        <f>IF($A63="","",P_Criteres!J24)</f>
        <v>ECONOMIC</v>
      </c>
      <c r="O63" s="5" t="str">
        <f>IF($A63="","",P_Criteres!D24)</f>
        <v>NUM</v>
      </c>
      <c r="P63" s="34">
        <f>IF($A63="",0,IFERROR(INDEX(P_DomPoids,MATCH($B63,P_DomCodes,0)),0))</f>
        <v>0.31</v>
      </c>
      <c r="Q63" s="34">
        <f>P63*G63</f>
        <v>0.031</v>
      </c>
      <c r="R63" s="5">
        <f>IF(J63,IF(ISNUMBER(SEARCH(","&amp;D63&amp;",",","&amp;R62&amp;",")),R62,R62&amp;IF(R62="","",",")&amp;D63),R62)</f>
        <v/>
      </c>
      <c r="S63" s="5">
        <f>IF(I63,S62&amp;IF(S62="","","; ")&amp;"Lever la condition « "&amp;C63&amp;" » avant "&amp;SUBSTITUTE(LOWER(IF(P_Criteres!I24="","TIRAGE",P_Criteres!I24)),"etude","étude"),S62)</f>
        <v/>
      </c>
      <c r="T63" s="5">
        <f>IF(AND(J63,NOT(ISNUMBER(SEARCH(","&amp;D63&amp;",",","&amp;R62&amp;",")))),T62&amp;IF(T62="","",", ")&amp;IFERROR(INDEX(Saisie!$C$13:$C$92,MATCH(D63,In_Cles,0)),D63),T62)</f>
        <v/>
      </c>
      <c r="U63" s="48">
        <f>IF(OR($A63="",N(G63)&lt;=0),"",F63+ROW()/1000000)</f>
        <v>10.000063</v>
      </c>
      <c r="V63" s="5">
        <f>IF($A63="","",IF($E63="","(non renseignée)",IF($O63="QUAL",IFERROR(INDEX(P_Baremes!$F$5:$F$400,SUMPRODUCT(MAX((P_Baremes!$A$5:$A$400=$A63)*(P_Baremes!$B$5:$B$400="MODALITE")*(P_Baremes!$C$5:$C$400=$E63)*(ROW(P_Baremes!$A$5:$A$400)-4)))),$E63),$E63)))</f>
        <v>100.0</v>
      </c>
    </row>
    <row r="64" spans="1:22">
      <c r="A64" s="5" t="str">
        <f>IF(P_Criteres!A25="","",P_Criteres!A25)</f>
        <v>D3C3</v>
      </c>
      <c r="B64" s="5" t="str">
        <f>IF($A64="","",P_Criteres!B25)</f>
        <v>D3</v>
      </c>
      <c r="C64" s="5" t="str">
        <f>IF($A64="","",P_Criteres!C25)</f>
        <v>DSO (jours)</v>
      </c>
      <c r="D64" s="5" t="str">
        <f>IF($A64="","",P_Criteres!F25)</f>
        <v>dso_days</v>
      </c>
      <c r="E64" s="5">
        <f>IF($A64="","",IFERROR(INDEX(In_Retenue,MATCH($D64,In_Cles,0)),""))</f>
        <v>90.0</v>
      </c>
      <c r="F64" s="34">
        <f>IF($A64="",0,ROUND(MIN(P_Scale,MAX(0,IF($L64=0,$K64,$M64))),2))</f>
        <v>10.0</v>
      </c>
      <c r="G64" s="34">
        <f>IF($A64="",0,P_Criteres!E25)</f>
        <v>0.05</v>
      </c>
      <c r="H64" s="34">
        <f>ROUND(F64*G64,2)</f>
        <v>0.5</v>
      </c>
      <c r="I64" s="5" t="b">
        <f>IF($A64="",FALSE,AND(P_Criteres!G25="Oui",ISNUMBER(P_Criteres!H25),F64&lt;=N(P_Criteres!H25)))</f>
        <v>0</v>
      </c>
      <c r="J64" s="5" t="b">
        <f>IF($A64="",FALSE,AND(OR(P_Criteres!G25="Oui",P_Criteres!K25="Oui"),$E64=""))</f>
        <v>0</v>
      </c>
      <c r="K64" s="34">
        <f t="array" ref="K64">IF($A64="",0,MIN(IF(P_Baremes!$A$5:$A$400=$A64,P_Baremes!$H$5:$H$400)))</f>
        <v>1.0</v>
      </c>
      <c r="L64" s="34">
        <f>IF($A64="",0,IF($O64="NUM",IF(ISNUMBER($E64),SUMPRODUCT((P_Baremes!$A$5:$A$400=$A64)*(P_Baremes!$B$5:$B$400="PLAGE")*(((P_Baremes!$D$5:$D$400="")+($E64&gt;=P_Baremes!$D$5:$D$400))&gt;0)*(((P_Baremes!$E$5:$E$400="")+($E64&lt;P_Baremes!$E$5:$E$400))&gt;0)),0),SUMPRODUCT((P_Baremes!$A$5:$A$400=$A64)*(P_Baremes!$B$5:$B$400="MODALITE")*(P_Baremes!$C$5:$C$400=$E64))))</f>
        <v>1.0</v>
      </c>
      <c r="M64" s="34">
        <f>IF($A64="",0,IF($L64=0,0,IF($O64="NUM",SUMPRODUCT((P_Baremes!$A$5:$A$400=$A64)*(P_Baremes!$B$5:$B$400="PLAGE")*(((P_Baremes!$D$5:$D$400="")+($E64&gt;=P_Baremes!$D$5:$D$400))&gt;0)*(((P_Baremes!$E$5:$E$400="")+($E64&lt;P_Baremes!$E$5:$E$400))&gt;0)*P_Baremes!$H$5:$H$400),SUMPRODUCT((P_Baremes!$A$5:$A$400=$A64)*(P_Baremes!$B$5:$B$400="MODALITE")*(P_Baremes!$C$5:$C$400=$E64)*P_Baremes!$H$5:$H$400))))</f>
        <v>10.0</v>
      </c>
      <c r="N64" s="5" t="str">
        <f>IF($A64="","",P_Criteres!J25)</f>
        <v>ECONOMIC</v>
      </c>
      <c r="O64" s="5" t="str">
        <f>IF($A64="","",P_Criteres!D25)</f>
        <v>NUM</v>
      </c>
      <c r="P64" s="34">
        <f>IF($A64="",0,IFERROR(INDEX(P_DomPoids,MATCH($B64,P_DomCodes,0)),0))</f>
        <v>0.31</v>
      </c>
      <c r="Q64" s="34">
        <f>P64*G64</f>
        <v>0.0155</v>
      </c>
      <c r="R64" s="5">
        <f>IF(J64,IF(ISNUMBER(SEARCH(","&amp;D64&amp;",",","&amp;R63&amp;",")),R63,R63&amp;IF(R63="","",",")&amp;D64),R63)</f>
        <v/>
      </c>
      <c r="S64" s="5">
        <f>IF(I64,S63&amp;IF(S63="","","; ")&amp;"Lever la condition « "&amp;C64&amp;" » avant "&amp;SUBSTITUTE(LOWER(IF(P_Criteres!I25="","TIRAGE",P_Criteres!I25)),"etude","étude"),S63)</f>
        <v/>
      </c>
      <c r="T64" s="5">
        <f>IF(AND(J64,NOT(ISNUMBER(SEARCH(","&amp;D64&amp;",",","&amp;R63&amp;",")))),T63&amp;IF(T63="","",", ")&amp;IFERROR(INDEX(Saisie!$C$13:$C$92,MATCH(D64,In_Cles,0)),D64),T63)</f>
        <v/>
      </c>
      <c r="U64" s="48">
        <f>IF(OR($A64="",N(G64)&lt;=0),"",F64+ROW()/1000000)</f>
        <v>10.000064</v>
      </c>
      <c r="V64" s="5">
        <f>IF($A64="","",IF($E64="","(non renseignée)",IF($O64="QUAL",IFERROR(INDEX(P_Baremes!$F$5:$F$400,SUMPRODUCT(MAX((P_Baremes!$A$5:$A$400=$A64)*(P_Baremes!$B$5:$B$400="MODALITE")*(P_Baremes!$C$5:$C$400=$E64)*(ROW(P_Baremes!$A$5:$A$400)-4)))),$E64),$E64)))</f>
        <v>90.0</v>
      </c>
    </row>
    <row r="65" spans="1:22">
      <c r="A65" s="5" t="str">
        <f>IF(P_Criteres!A26="","",P_Criteres!A26)</f>
        <v>D3C4</v>
      </c>
      <c r="B65" s="5" t="str">
        <f>IF($A65="","",P_Criteres!B26)</f>
        <v>D3</v>
      </c>
      <c r="C65" s="5" t="str">
        <f>IF($A65="","",P_Criteres!C26)</f>
        <v>Cash coverage (cash / échéances)</v>
      </c>
      <c r="D65" s="5" t="str">
        <f>IF($A65="","",P_Criteres!F26)</f>
        <v>cash_coverage</v>
      </c>
      <c r="E65" s="5">
        <f>IF($A65="","",IFERROR(INDEX(In_Retenue,MATCH($D65,In_Cles,0)),""))</f>
        <v>0.99</v>
      </c>
      <c r="F65" s="34">
        <f>IF($A65="",0,ROUND(MIN(P_Scale,MAX(0,IF($L65=0,$K65,$M65))),2))</f>
        <v>1.0</v>
      </c>
      <c r="G65" s="34">
        <f>IF($A65="",0,P_Criteres!E26)</f>
        <v>0.2</v>
      </c>
      <c r="H65" s="34">
        <f>ROUND(F65*G65,2)</f>
        <v>0.2</v>
      </c>
      <c r="I65" s="5" t="b">
        <f>IF($A65="",FALSE,AND(P_Criteres!G26="Oui",ISNUMBER(P_Criteres!H26),F65&lt;=N(P_Criteres!H26)))</f>
        <v>0</v>
      </c>
      <c r="J65" s="5" t="b">
        <f>IF($A65="",FALSE,AND(OR(P_Criteres!G26="Oui",P_Criteres!K26="Oui"),$E65=""))</f>
        <v>0</v>
      </c>
      <c r="K65" s="34">
        <f t="array" ref="K65">IF($A65="",0,MIN(IF(P_Baremes!$A$5:$A$400=$A65,P_Baremes!$H$5:$H$400)))</f>
        <v>1.0</v>
      </c>
      <c r="L65" s="34">
        <f>IF($A65="",0,IF($O65="NUM",IF(ISNUMBER($E65),SUMPRODUCT((P_Baremes!$A$5:$A$400=$A65)*(P_Baremes!$B$5:$B$400="PLAGE")*(((P_Baremes!$D$5:$D$400="")+($E65&gt;=P_Baremes!$D$5:$D$400))&gt;0)*(((P_Baremes!$E$5:$E$400="")+($E65&lt;P_Baremes!$E$5:$E$400))&gt;0)),0),SUMPRODUCT((P_Baremes!$A$5:$A$400=$A65)*(P_Baremes!$B$5:$B$400="MODALITE")*(P_Baremes!$C$5:$C$400=$E65))))</f>
        <v>1.0</v>
      </c>
      <c r="M65" s="34">
        <f>IF($A65="",0,IF($L65=0,0,IF($O65="NUM",SUMPRODUCT((P_Baremes!$A$5:$A$400=$A65)*(P_Baremes!$B$5:$B$400="PLAGE")*(((P_Baremes!$D$5:$D$400="")+($E65&gt;=P_Baremes!$D$5:$D$400))&gt;0)*(((P_Baremes!$E$5:$E$400="")+($E65&lt;P_Baremes!$E$5:$E$400))&gt;0)*P_Baremes!$H$5:$H$400),SUMPRODUCT((P_Baremes!$A$5:$A$400=$A65)*(P_Baremes!$B$5:$B$400="MODALITE")*(P_Baremes!$C$5:$C$400=$E65)*P_Baremes!$H$5:$H$400))))</f>
        <v>1.0</v>
      </c>
      <c r="N65" s="5" t="str">
        <f>IF($A65="","",P_Criteres!J26)</f>
        <v>ECONOMIC</v>
      </c>
      <c r="O65" s="5" t="str">
        <f>IF($A65="","",P_Criteres!D26)</f>
        <v>NUM</v>
      </c>
      <c r="P65" s="34">
        <f>IF($A65="",0,IFERROR(INDEX(P_DomPoids,MATCH($B65,P_DomCodes,0)),0))</f>
        <v>0.31</v>
      </c>
      <c r="Q65" s="34">
        <f>P65*G65</f>
        <v>0.062</v>
      </c>
      <c r="R65" s="5">
        <f>IF(J65,IF(ISNUMBER(SEARCH(","&amp;D65&amp;",",","&amp;R64&amp;",")),R64,R64&amp;IF(R64="","",",")&amp;D65),R64)</f>
        <v/>
      </c>
      <c r="S65" s="5">
        <f>IF(I65,S64&amp;IF(S64="","","; ")&amp;"Lever la condition « "&amp;C65&amp;" » avant "&amp;SUBSTITUTE(LOWER(IF(P_Criteres!I26="","TIRAGE",P_Criteres!I26)),"etude","étude"),S64)</f>
        <v/>
      </c>
      <c r="T65" s="5">
        <f>IF(AND(J65,NOT(ISNUMBER(SEARCH(","&amp;D65&amp;",",","&amp;R64&amp;",")))),T64&amp;IF(T64="","",", ")&amp;IFERROR(INDEX(Saisie!$C$13:$C$92,MATCH(D65,In_Cles,0)),D65),T64)</f>
        <v/>
      </c>
      <c r="U65" s="48">
        <f>IF(OR($A65="",N(G65)&lt;=0),"",F65+ROW()/1000000)</f>
        <v>1.000065</v>
      </c>
      <c r="V65" s="5">
        <f>IF($A65="","",IF($E65="","(non renseignée)",IF($O65="QUAL",IFERROR(INDEX(P_Baremes!$F$5:$F$400,SUMPRODUCT(MAX((P_Baremes!$A$5:$A$400=$A65)*(P_Baremes!$B$5:$B$400="MODALITE")*(P_Baremes!$C$5:$C$400=$E65)*(ROW(P_Baremes!$A$5:$A$400)-4)))),$E65),$E65)))</f>
        <v>0.99</v>
      </c>
    </row>
    <row r="66" spans="1:22">
      <c r="A66" s="5" t="str">
        <f>IF(P_Criteres!A27="","",P_Criteres!A27)</f>
        <v>D3C5</v>
      </c>
      <c r="B66" s="5" t="str">
        <f>IF($A66="","",P_Criteres!B27)</f>
        <v>D3</v>
      </c>
      <c r="C66" s="5" t="str">
        <f>IF($A66="","",P_Criteres!C27)</f>
        <v>Impasse brute</v>
      </c>
      <c r="D66" s="5" t="str">
        <f>IF($A66="","",P_Criteres!F27)</f>
        <v>funding_gap_pct</v>
      </c>
      <c r="E66" s="5">
        <f>IF($A66="","",IFERROR(INDEX(In_Retenue,MATCH($D66,In_Cles,0)),""))</f>
        <v>0.0</v>
      </c>
      <c r="F66" s="34">
        <f>IF($A66="",0,ROUND(MIN(P_Scale,MAX(0,IF($L66=0,$K66,$M66))),2))</f>
        <v>10.0</v>
      </c>
      <c r="G66" s="34">
        <f>IF($A66="",0,P_Criteres!E27)</f>
        <v>0.15</v>
      </c>
      <c r="H66" s="34">
        <f>ROUND(F66*G66,2)</f>
        <v>1.5</v>
      </c>
      <c r="I66" s="5" t="b">
        <f>IF($A66="",FALSE,AND(P_Criteres!G27="Oui",ISNUMBER(P_Criteres!H27),F66&lt;=N(P_Criteres!H27)))</f>
        <v>0</v>
      </c>
      <c r="J66" s="5" t="b">
        <f>IF($A66="",FALSE,AND(OR(P_Criteres!G27="Oui",P_Criteres!K27="Oui"),$E66=""))</f>
        <v>0</v>
      </c>
      <c r="K66" s="34">
        <f t="array" ref="K66">IF($A66="",0,MIN(IF(P_Baremes!$A$5:$A$400=$A66,P_Baremes!$H$5:$H$400)))</f>
        <v>1.0</v>
      </c>
      <c r="L66" s="34">
        <f>IF($A66="",0,IF($O66="NUM",IF(ISNUMBER($E66),SUMPRODUCT((P_Baremes!$A$5:$A$400=$A66)*(P_Baremes!$B$5:$B$400="PLAGE")*(((P_Baremes!$D$5:$D$400="")+($E66&gt;=P_Baremes!$D$5:$D$400))&gt;0)*(((P_Baremes!$E$5:$E$400="")+($E66&lt;P_Baremes!$E$5:$E$400))&gt;0)),0),SUMPRODUCT((P_Baremes!$A$5:$A$400=$A66)*(P_Baremes!$B$5:$B$400="MODALITE")*(P_Baremes!$C$5:$C$400=$E66))))</f>
        <v>1.0</v>
      </c>
      <c r="M66" s="34">
        <f>IF($A66="",0,IF($L66=0,0,IF($O66="NUM",SUMPRODUCT((P_Baremes!$A$5:$A$400=$A66)*(P_Baremes!$B$5:$B$400="PLAGE")*(((P_Baremes!$D$5:$D$400="")+($E66&gt;=P_Baremes!$D$5:$D$400))&gt;0)*(((P_Baremes!$E$5:$E$400="")+($E66&lt;P_Baremes!$E$5:$E$400))&gt;0)*P_Baremes!$H$5:$H$400),SUMPRODUCT((P_Baremes!$A$5:$A$400=$A66)*(P_Baremes!$B$5:$B$400="MODALITE")*(P_Baremes!$C$5:$C$400=$E66)*P_Baremes!$H$5:$H$400))))</f>
        <v>10.0</v>
      </c>
      <c r="N66" s="5" t="str">
        <f>IF($A66="","",P_Criteres!J27)</f>
        <v>ECONOMIC</v>
      </c>
      <c r="O66" s="5" t="str">
        <f>IF($A66="","",P_Criteres!D27)</f>
        <v>NUM</v>
      </c>
      <c r="P66" s="34">
        <f>IF($A66="",0,IFERROR(INDEX(P_DomPoids,MATCH($B66,P_DomCodes,0)),0))</f>
        <v>0.31</v>
      </c>
      <c r="Q66" s="34">
        <f>P66*G66</f>
        <v>0.0465</v>
      </c>
      <c r="R66" s="5">
        <f>IF(J66,IF(ISNUMBER(SEARCH(","&amp;D66&amp;",",","&amp;R65&amp;",")),R65,R65&amp;IF(R65="","",",")&amp;D66),R65)</f>
        <v/>
      </c>
      <c r="S66" s="5">
        <f>IF(I66,S65&amp;IF(S65="","","; ")&amp;"Lever la condition « "&amp;C66&amp;" » avant "&amp;SUBSTITUTE(LOWER(IF(P_Criteres!I27="","TIRAGE",P_Criteres!I27)),"etude","étude"),S65)</f>
        <v/>
      </c>
      <c r="T66" s="5">
        <f>IF(AND(J66,NOT(ISNUMBER(SEARCH(","&amp;D66&amp;",",","&amp;R65&amp;",")))),T65&amp;IF(T65="","",", ")&amp;IFERROR(INDEX(Saisie!$C$13:$C$92,MATCH(D66,In_Cles,0)),D66),T65)</f>
        <v/>
      </c>
      <c r="U66" s="48">
        <f>IF(OR($A66="",N(G66)&lt;=0),"",F66+ROW()/1000000)</f>
        <v>10.000066</v>
      </c>
      <c r="V66" s="5">
        <f>IF($A66="","",IF($E66="","(non renseignée)",IF($O66="QUAL",IFERROR(INDEX(P_Baremes!$F$5:$F$400,SUMPRODUCT(MAX((P_Baremes!$A$5:$A$400=$A66)*(P_Baremes!$B$5:$B$400="MODALITE")*(P_Baremes!$C$5:$C$400=$E66)*(ROW(P_Baremes!$A$5:$A$400)-4)))),$E66),$E66)))</f>
        <v>0.0</v>
      </c>
    </row>
    <row r="67" spans="1:22">
      <c r="A67" s="5" t="str">
        <f>IF(P_Criteres!A28="","",P_Criteres!A28)</f>
        <v>D3C6</v>
      </c>
      <c r="B67" s="5" t="str">
        <f>IF($A67="","",P_Criteres!B28)</f>
        <v>D3</v>
      </c>
      <c r="C67" s="5" t="str">
        <f>IF($A67="","",P_Criteres!C28)</f>
        <v>Rotation stock (mois)</v>
      </c>
      <c r="D67" s="5" t="str">
        <f>IF($A67="","",P_Criteres!F28)</f>
        <v>stock_rotation_months</v>
      </c>
      <c r="E67" s="5">
        <f>IF($A67="","",IFERROR(INDEX(In_Retenue,MATCH($D67,In_Cles,0)),""))</f>
        <v>16.0</v>
      </c>
      <c r="F67" s="34">
        <f>IF($A67="",0,ROUND(MIN(P_Scale,MAX(0,IF($L67=0,$K67,$M67))),2))</f>
        <v>10.0</v>
      </c>
      <c r="G67" s="34">
        <f>IF($A67="",0,P_Criteres!E28)</f>
        <v>0.05</v>
      </c>
      <c r="H67" s="34">
        <f>ROUND(F67*G67,2)</f>
        <v>0.5</v>
      </c>
      <c r="I67" s="5" t="b">
        <f>IF($A67="",FALSE,AND(P_Criteres!G28="Oui",ISNUMBER(P_Criteres!H28),F67&lt;=N(P_Criteres!H28)))</f>
        <v>0</v>
      </c>
      <c r="J67" s="5" t="b">
        <f>IF($A67="",FALSE,AND(OR(P_Criteres!G28="Oui",P_Criteres!K28="Oui"),$E67=""))</f>
        <v>0</v>
      </c>
      <c r="K67" s="34">
        <f t="array" ref="K67">IF($A67="",0,MIN(IF(P_Baremes!$A$5:$A$400=$A67,P_Baremes!$H$5:$H$400)))</f>
        <v>1.0</v>
      </c>
      <c r="L67" s="34">
        <f>IF($A67="",0,IF($O67="NUM",IF(ISNUMBER($E67),SUMPRODUCT((P_Baremes!$A$5:$A$400=$A67)*(P_Baremes!$B$5:$B$400="PLAGE")*(((P_Baremes!$D$5:$D$400="")+($E67&gt;=P_Baremes!$D$5:$D$400))&gt;0)*(((P_Baremes!$E$5:$E$400="")+($E67&lt;P_Baremes!$E$5:$E$400))&gt;0)),0),SUMPRODUCT((P_Baremes!$A$5:$A$400=$A67)*(P_Baremes!$B$5:$B$400="MODALITE")*(P_Baremes!$C$5:$C$400=$E67))))</f>
        <v>1.0</v>
      </c>
      <c r="M67" s="34">
        <f>IF($A67="",0,IF($L67=0,0,IF($O67="NUM",SUMPRODUCT((P_Baremes!$A$5:$A$400=$A67)*(P_Baremes!$B$5:$B$400="PLAGE")*(((P_Baremes!$D$5:$D$400="")+($E67&gt;=P_Baremes!$D$5:$D$400))&gt;0)*(((P_Baremes!$E$5:$E$400="")+($E67&lt;P_Baremes!$E$5:$E$400))&gt;0)*P_Baremes!$H$5:$H$400),SUMPRODUCT((P_Baremes!$A$5:$A$400=$A67)*(P_Baremes!$B$5:$B$400="MODALITE")*(P_Baremes!$C$5:$C$400=$E67)*P_Baremes!$H$5:$H$400))))</f>
        <v>10.0</v>
      </c>
      <c r="N67" s="5" t="str">
        <f>IF($A67="","",P_Criteres!J28)</f>
        <v>ECONOMIC</v>
      </c>
      <c r="O67" s="5" t="str">
        <f>IF($A67="","",P_Criteres!D28)</f>
        <v>NUM</v>
      </c>
      <c r="P67" s="34">
        <f>IF($A67="",0,IFERROR(INDEX(P_DomPoids,MATCH($B67,P_DomCodes,0)),0))</f>
        <v>0.31</v>
      </c>
      <c r="Q67" s="34">
        <f>P67*G67</f>
        <v>0.0155</v>
      </c>
      <c r="R67" s="5">
        <f>IF(J67,IF(ISNUMBER(SEARCH(","&amp;D67&amp;",",","&amp;R66&amp;",")),R66,R66&amp;IF(R66="","",",")&amp;D67),R66)</f>
        <v/>
      </c>
      <c r="S67" s="5">
        <f>IF(I67,S66&amp;IF(S66="","","; ")&amp;"Lever la condition « "&amp;C67&amp;" » avant "&amp;SUBSTITUTE(LOWER(IF(P_Criteres!I28="","TIRAGE",P_Criteres!I28)),"etude","étude"),S66)</f>
        <v/>
      </c>
      <c r="T67" s="5">
        <f>IF(AND(J67,NOT(ISNUMBER(SEARCH(","&amp;D67&amp;",",","&amp;R66&amp;",")))),T66&amp;IF(T66="","",", ")&amp;IFERROR(INDEX(Saisie!$C$13:$C$92,MATCH(D67,In_Cles,0)),D67),T66)</f>
        <v/>
      </c>
      <c r="U67" s="48">
        <f>IF(OR($A67="",N(G67)&lt;=0),"",F67+ROW()/1000000)</f>
        <v>10.000067</v>
      </c>
      <c r="V67" s="5">
        <f>IF($A67="","",IF($E67="","(non renseignée)",IF($O67="QUAL",IFERROR(INDEX(P_Baremes!$F$5:$F$400,SUMPRODUCT(MAX((P_Baremes!$A$5:$A$400=$A67)*(P_Baremes!$B$5:$B$400="MODALITE")*(P_Baremes!$C$5:$C$400=$E67)*(ROW(P_Baremes!$A$5:$A$400)-4)))),$E67),$E67)))</f>
        <v>16.0</v>
      </c>
    </row>
    <row r="68" spans="1:22">
      <c r="A68" s="5" t="str">
        <f>IF(P_Criteres!A29="","",P_Criteres!A29)</f>
        <v>D3C7</v>
      </c>
      <c r="B68" s="5" t="str">
        <f>IF($A68="","",P_Criteres!B29)</f>
        <v>D3</v>
      </c>
      <c r="C68" s="5" t="str">
        <f>IF($A68="","",P_Criteres!C29)</f>
        <v>Marge brute stressée (prix -10%)</v>
      </c>
      <c r="D68" s="5" t="str">
        <f>IF($A68="","",P_Criteres!F29)</f>
        <v>stressed_margin_pct</v>
      </c>
      <c r="E68" s="5">
        <f>IF($A68="","",IFERROR(INDEX(In_Retenue,MATCH($D68,In_Cles,0)),""))</f>
        <v>18.0</v>
      </c>
      <c r="F68" s="34">
        <f>IF($A68="",0,ROUND(MIN(P_Scale,MAX(0,IF($L68=0,$K68,$M68))),2))</f>
        <v>10.0</v>
      </c>
      <c r="G68" s="34">
        <f>IF($A68="",0,P_Criteres!E29)</f>
        <v>0.1</v>
      </c>
      <c r="H68" s="34">
        <f>ROUND(F68*G68,2)</f>
        <v>1.0</v>
      </c>
      <c r="I68" s="5" t="b">
        <f>IF($A68="",FALSE,AND(P_Criteres!G29="Oui",ISNUMBER(P_Criteres!H29),F68&lt;=N(P_Criteres!H29)))</f>
        <v>0</v>
      </c>
      <c r="J68" s="5" t="b">
        <f>IF($A68="",FALSE,AND(OR(P_Criteres!G29="Oui",P_Criteres!K29="Oui"),$E68=""))</f>
        <v>0</v>
      </c>
      <c r="K68" s="34">
        <f t="array" ref="K68">IF($A68="",0,MIN(IF(P_Baremes!$A$5:$A$400=$A68,P_Baremes!$H$5:$H$400)))</f>
        <v>1.0</v>
      </c>
      <c r="L68" s="34">
        <f>IF($A68="",0,IF($O68="NUM",IF(ISNUMBER($E68),SUMPRODUCT((P_Baremes!$A$5:$A$400=$A68)*(P_Baremes!$B$5:$B$400="PLAGE")*(((P_Baremes!$D$5:$D$400="")+($E68&gt;=P_Baremes!$D$5:$D$400))&gt;0)*(((P_Baremes!$E$5:$E$400="")+($E68&lt;P_Baremes!$E$5:$E$400))&gt;0)),0),SUMPRODUCT((P_Baremes!$A$5:$A$400=$A68)*(P_Baremes!$B$5:$B$400="MODALITE")*(P_Baremes!$C$5:$C$400=$E68))))</f>
        <v>1.0</v>
      </c>
      <c r="M68" s="34">
        <f>IF($A68="",0,IF($L68=0,0,IF($O68="NUM",SUMPRODUCT((P_Baremes!$A$5:$A$400=$A68)*(P_Baremes!$B$5:$B$400="PLAGE")*(((P_Baremes!$D$5:$D$400="")+($E68&gt;=P_Baremes!$D$5:$D$400))&gt;0)*(((P_Baremes!$E$5:$E$400="")+($E68&lt;P_Baremes!$E$5:$E$400))&gt;0)*P_Baremes!$H$5:$H$400),SUMPRODUCT((P_Baremes!$A$5:$A$400=$A68)*(P_Baremes!$B$5:$B$400="MODALITE")*(P_Baremes!$C$5:$C$400=$E68)*P_Baremes!$H$5:$H$400))))</f>
        <v>10.0</v>
      </c>
      <c r="N68" s="5" t="str">
        <f>IF($A68="","",P_Criteres!J29)</f>
        <v>ECONOMIC</v>
      </c>
      <c r="O68" s="5" t="str">
        <f>IF($A68="","",P_Criteres!D29)</f>
        <v>NUM</v>
      </c>
      <c r="P68" s="34">
        <f>IF($A68="",0,IFERROR(INDEX(P_DomPoids,MATCH($B68,P_DomCodes,0)),0))</f>
        <v>0.31</v>
      </c>
      <c r="Q68" s="34">
        <f>P68*G68</f>
        <v>0.031</v>
      </c>
      <c r="R68" s="5">
        <f>IF(J68,IF(ISNUMBER(SEARCH(","&amp;D68&amp;",",","&amp;R67&amp;",")),R67,R67&amp;IF(R67="","",",")&amp;D68),R67)</f>
        <v/>
      </c>
      <c r="S68" s="5">
        <f>IF(I68,S67&amp;IF(S67="","","; ")&amp;"Lever la condition « "&amp;C68&amp;" » avant "&amp;SUBSTITUTE(LOWER(IF(P_Criteres!I29="","TIRAGE",P_Criteres!I29)),"etude","étude"),S67)</f>
        <v/>
      </c>
      <c r="T68" s="5">
        <f>IF(AND(J68,NOT(ISNUMBER(SEARCH(","&amp;D68&amp;",",","&amp;R67&amp;",")))),T67&amp;IF(T67="","",", ")&amp;IFERROR(INDEX(Saisie!$C$13:$C$92,MATCH(D68,In_Cles,0)),D68),T67)</f>
        <v/>
      </c>
      <c r="U68" s="48">
        <f>IF(OR($A68="",N(G68)&lt;=0),"",F68+ROW()/1000000)</f>
        <v>10.000068</v>
      </c>
      <c r="V68" s="5">
        <f>IF($A68="","",IF($E68="","(non renseignée)",IF($O68="QUAL",IFERROR(INDEX(P_Baremes!$F$5:$F$400,SUMPRODUCT(MAX((P_Baremes!$A$5:$A$400=$A68)*(P_Baremes!$B$5:$B$400="MODALITE")*(P_Baremes!$C$5:$C$400=$E68)*(ROW(P_Baremes!$A$5:$A$400)-4)))),$E68),$E68)))</f>
        <v>18.0</v>
      </c>
    </row>
    <row r="69" spans="1:22">
      <c r="A69" s="5" t="str">
        <f>IF(P_Criteres!A30="","",P_Criteres!A30)</f>
        <v>D3C8</v>
      </c>
      <c r="B69" s="5" t="str">
        <f>IF($A69="","",P_Criteres!B30)</f>
        <v>D3</v>
      </c>
      <c r="C69" s="5" t="str">
        <f>IF($A69="","",P_Criteres!C30)</f>
        <v>Ventes sécurisées (financement acquéreur)</v>
      </c>
      <c r="D69" s="5" t="str">
        <f>IF($A69="","",P_Criteres!F30)</f>
        <v>secured_sales_rate</v>
      </c>
      <c r="E69" s="5">
        <f>IF($A69="","",IFERROR(INDEX(In_Retenue,MATCH($D69,In_Cles,0)),""))</f>
        <v>55.0</v>
      </c>
      <c r="F69" s="34">
        <f>IF($A69="",0,ROUND(MIN(P_Scale,MAX(0,IF($L69=0,$K69,$M69))),2))</f>
        <v>10.0</v>
      </c>
      <c r="G69" s="34">
        <f>IF($A69="",0,P_Criteres!E30)</f>
        <v>0.05</v>
      </c>
      <c r="H69" s="34">
        <f>ROUND(F69*G69,2)</f>
        <v>0.5</v>
      </c>
      <c r="I69" s="5" t="b">
        <f>IF($A69="",FALSE,AND(P_Criteres!G30="Oui",ISNUMBER(P_Criteres!H30),F69&lt;=N(P_Criteres!H30)))</f>
        <v>0</v>
      </c>
      <c r="J69" s="5" t="b">
        <f>IF($A69="",FALSE,AND(OR(P_Criteres!G30="Oui",P_Criteres!K30="Oui"),$E69=""))</f>
        <v>0</v>
      </c>
      <c r="K69" s="34">
        <f t="array" ref="K69">IF($A69="",0,MIN(IF(P_Baremes!$A$5:$A$400=$A69,P_Baremes!$H$5:$H$400)))</f>
        <v>1.0</v>
      </c>
      <c r="L69" s="34">
        <f>IF($A69="",0,IF($O69="NUM",IF(ISNUMBER($E69),SUMPRODUCT((P_Baremes!$A$5:$A$400=$A69)*(P_Baremes!$B$5:$B$400="PLAGE")*(((P_Baremes!$D$5:$D$400="")+($E69&gt;=P_Baremes!$D$5:$D$400))&gt;0)*(((P_Baremes!$E$5:$E$400="")+($E69&lt;P_Baremes!$E$5:$E$400))&gt;0)),0),SUMPRODUCT((P_Baremes!$A$5:$A$400=$A69)*(P_Baremes!$B$5:$B$400="MODALITE")*(P_Baremes!$C$5:$C$400=$E69))))</f>
        <v>1.0</v>
      </c>
      <c r="M69" s="34">
        <f>IF($A69="",0,IF($L69=0,0,IF($O69="NUM",SUMPRODUCT((P_Baremes!$A$5:$A$400=$A69)*(P_Baremes!$B$5:$B$400="PLAGE")*(((P_Baremes!$D$5:$D$400="")+($E69&gt;=P_Baremes!$D$5:$D$400))&gt;0)*(((P_Baremes!$E$5:$E$400="")+($E69&lt;P_Baremes!$E$5:$E$400))&gt;0)*P_Baremes!$H$5:$H$400),SUMPRODUCT((P_Baremes!$A$5:$A$400=$A69)*(P_Baremes!$B$5:$B$400="MODALITE")*(P_Baremes!$C$5:$C$400=$E69)*P_Baremes!$H$5:$H$400))))</f>
        <v>10.0</v>
      </c>
      <c r="N69" s="5" t="str">
        <f>IF($A69="","",P_Criteres!J30)</f>
        <v>ECONOMIC</v>
      </c>
      <c r="O69" s="5" t="str">
        <f>IF($A69="","",P_Criteres!D30)</f>
        <v>NUM</v>
      </c>
      <c r="P69" s="34">
        <f>IF($A69="",0,IFERROR(INDEX(P_DomPoids,MATCH($B69,P_DomCodes,0)),0))</f>
        <v>0.31</v>
      </c>
      <c r="Q69" s="34">
        <f>P69*G69</f>
        <v>0.0155</v>
      </c>
      <c r="R69" s="5">
        <f>IF(J69,IF(ISNUMBER(SEARCH(","&amp;D69&amp;",",","&amp;R68&amp;",")),R68,R68&amp;IF(R68="","",",")&amp;D69),R68)</f>
        <v/>
      </c>
      <c r="S69" s="5">
        <f>IF(I69,S68&amp;IF(S68="","","; ")&amp;"Lever la condition « "&amp;C69&amp;" » avant "&amp;SUBSTITUTE(LOWER(IF(P_Criteres!I30="","TIRAGE",P_Criteres!I30)),"etude","étude"),S68)</f>
        <v/>
      </c>
      <c r="T69" s="5">
        <f>IF(AND(J69,NOT(ISNUMBER(SEARCH(","&amp;D69&amp;",",","&amp;R68&amp;",")))),T68&amp;IF(T68="","",", ")&amp;IFERROR(INDEX(Saisie!$C$13:$C$92,MATCH(D69,In_Cles,0)),D69),T68)</f>
        <v/>
      </c>
      <c r="U69" s="48">
        <f>IF(OR($A69="",N(G69)&lt;=0),"",F69+ROW()/1000000)</f>
        <v>10.000069</v>
      </c>
      <c r="V69" s="5">
        <f>IF($A69="","",IF($E69="","(non renseignée)",IF($O69="QUAL",IFERROR(INDEX(P_Baremes!$F$5:$F$400,SUMPRODUCT(MAX((P_Baremes!$A$5:$A$400=$A69)*(P_Baremes!$B$5:$B$400="MODALITE")*(P_Baremes!$C$5:$C$400=$E69)*(ROW(P_Baremes!$A$5:$A$400)-4)))),$E69),$E69)))</f>
        <v>55.0</v>
      </c>
    </row>
    <row r="70" spans="1:22">
      <c r="A70" s="5" t="str">
        <f>IF(P_Criteres!A31="","",P_Criteres!A31)</f>
        <v>D3C9</v>
      </c>
      <c r="B70" s="5" t="str">
        <f>IF($A70="","",P_Criteres!B31)</f>
        <v>D3</v>
      </c>
      <c r="C70" s="5" t="str">
        <f>IF($A70="","",P_Criteres!C31)</f>
        <v>Part du CA en produits à écoulement lent</v>
      </c>
      <c r="D70" s="5" t="str">
        <f>IF($A70="","",P_Criteres!F31)</f>
        <v>slow_liquidity_share_pct</v>
      </c>
      <c r="E70" s="5">
        <f>IF($A70="","",IFERROR(INDEX(In_Retenue,MATCH($D70,In_Cles,0)),""))</f>
        <v>5.0</v>
      </c>
      <c r="F70" s="34">
        <f>IF($A70="",0,ROUND(MIN(P_Scale,MAX(0,IF($L70=0,$K70,$M70))),2))</f>
        <v>10.0</v>
      </c>
      <c r="G70" s="34">
        <f>IF($A70="",0,P_Criteres!E31)</f>
        <v>0.05</v>
      </c>
      <c r="H70" s="34">
        <f>ROUND(F70*G70,2)</f>
        <v>0.5</v>
      </c>
      <c r="I70" s="5" t="b">
        <f>IF($A70="",FALSE,AND(P_Criteres!G31="Oui",ISNUMBER(P_Criteres!H31),F70&lt;=N(P_Criteres!H31)))</f>
        <v>0</v>
      </c>
      <c r="J70" s="5" t="b">
        <f>IF($A70="",FALSE,AND(OR(P_Criteres!G31="Oui",P_Criteres!K31="Oui"),$E70=""))</f>
        <v>0</v>
      </c>
      <c r="K70" s="34">
        <f t="array" ref="K70">IF($A70="",0,MIN(IF(P_Baremes!$A$5:$A$400=$A70,P_Baremes!$H$5:$H$400)))</f>
        <v>1.0</v>
      </c>
      <c r="L70" s="34">
        <f>IF($A70="",0,IF($O70="NUM",IF(ISNUMBER($E70),SUMPRODUCT((P_Baremes!$A$5:$A$400=$A70)*(P_Baremes!$B$5:$B$400="PLAGE")*(((P_Baremes!$D$5:$D$400="")+($E70&gt;=P_Baremes!$D$5:$D$400))&gt;0)*(((P_Baremes!$E$5:$E$400="")+($E70&lt;P_Baremes!$E$5:$E$400))&gt;0)),0),SUMPRODUCT((P_Baremes!$A$5:$A$400=$A70)*(P_Baremes!$B$5:$B$400="MODALITE")*(P_Baremes!$C$5:$C$400=$E70))))</f>
        <v>1.0</v>
      </c>
      <c r="M70" s="34">
        <f>IF($A70="",0,IF($L70=0,0,IF($O70="NUM",SUMPRODUCT((P_Baremes!$A$5:$A$400=$A70)*(P_Baremes!$B$5:$B$400="PLAGE")*(((P_Baremes!$D$5:$D$400="")+($E70&gt;=P_Baremes!$D$5:$D$400))&gt;0)*(((P_Baremes!$E$5:$E$400="")+($E70&lt;P_Baremes!$E$5:$E$400))&gt;0)*P_Baremes!$H$5:$H$400),SUMPRODUCT((P_Baremes!$A$5:$A$400=$A70)*(P_Baremes!$B$5:$B$400="MODALITE")*(P_Baremes!$C$5:$C$400=$E70)*P_Baremes!$H$5:$H$400))))</f>
        <v>10.0</v>
      </c>
      <c r="N70" s="5" t="str">
        <f>IF($A70="","",P_Criteres!J31)</f>
        <v>ECONOMIC</v>
      </c>
      <c r="O70" s="5" t="str">
        <f>IF($A70="","",P_Criteres!D31)</f>
        <v>NUM</v>
      </c>
      <c r="P70" s="34">
        <f>IF($A70="",0,IFERROR(INDEX(P_DomPoids,MATCH($B70,P_DomCodes,0)),0))</f>
        <v>0.31</v>
      </c>
      <c r="Q70" s="34">
        <f>P70*G70</f>
        <v>0.0155</v>
      </c>
      <c r="R70" s="5">
        <f>IF(J70,IF(ISNUMBER(SEARCH(","&amp;D70&amp;",",","&amp;R69&amp;",")),R69,R69&amp;IF(R69="","",",")&amp;D70),R69)</f>
        <v/>
      </c>
      <c r="S70" s="5">
        <f>IF(I70,S69&amp;IF(S69="","","; ")&amp;"Lever la condition « "&amp;C70&amp;" » avant "&amp;SUBSTITUTE(LOWER(IF(P_Criteres!I31="","TIRAGE",P_Criteres!I31)),"etude","étude"),S69)</f>
        <v/>
      </c>
      <c r="T70" s="5">
        <f>IF(AND(J70,NOT(ISNUMBER(SEARCH(","&amp;D70&amp;",",","&amp;R69&amp;",")))),T69&amp;IF(T69="","",", ")&amp;IFERROR(INDEX(Saisie!$C$13:$C$92,MATCH(D70,In_Cles,0)),D70),T69)</f>
        <v/>
      </c>
      <c r="U70" s="48">
        <f>IF(OR($A70="",N(G70)&lt;=0),"",F70+ROW()/1000000)</f>
        <v>10.00007</v>
      </c>
      <c r="V70" s="5">
        <f>IF($A70="","",IF($E70="","(non renseignée)",IF($O70="QUAL",IFERROR(INDEX(P_Baremes!$F$5:$F$400,SUMPRODUCT(MAX((P_Baremes!$A$5:$A$400=$A70)*(P_Baremes!$B$5:$B$400="MODALITE")*(P_Baremes!$C$5:$C$400=$E70)*(ROW(P_Baremes!$A$5:$A$400)-4)))),$E70),$E70)))</f>
        <v>5.0</v>
      </c>
    </row>
    <row r="71" spans="1:22">
      <c r="A71" s="5" t="str">
        <f>IF(P_Criteres!A32="","",P_Criteres!A32)</f>
        <v>D3C10</v>
      </c>
      <c r="B71" s="5" t="str">
        <f>IF($A71="","",P_Criteres!B32)</f>
        <v>D3</v>
      </c>
      <c r="C71" s="5" t="str">
        <f>IF($A71="","",P_Criteres!C32)</f>
        <v>Taux de désistement des réservations</v>
      </c>
      <c r="D71" s="5" t="str">
        <f>IF($A71="","",P_Criteres!F32)</f>
        <v>cancellation_rate_pct</v>
      </c>
      <c r="E71" s="5">
        <f>IF($A71="","",IFERROR(INDEX(In_Retenue,MATCH($D71,In_Cles,0)),""))</f>
        <v>3.0</v>
      </c>
      <c r="F71" s="34">
        <f>IF($A71="",0,ROUND(MIN(P_Scale,MAX(0,IF($L71=0,$K71,$M71))),2))</f>
        <v>10.0</v>
      </c>
      <c r="G71" s="34">
        <f>IF($A71="",0,P_Criteres!E32)</f>
        <v>0.1</v>
      </c>
      <c r="H71" s="34">
        <f>ROUND(F71*G71,2)</f>
        <v>1.0</v>
      </c>
      <c r="I71" s="5" t="b">
        <f>IF($A71="",FALSE,AND(P_Criteres!G32="Oui",ISNUMBER(P_Criteres!H32),F71&lt;=N(P_Criteres!H32)))</f>
        <v>0</v>
      </c>
      <c r="J71" s="5" t="b">
        <f>IF($A71="",FALSE,AND(OR(P_Criteres!G32="Oui",P_Criteres!K32="Oui"),$E71=""))</f>
        <v>0</v>
      </c>
      <c r="K71" s="34">
        <f t="array" ref="K71">IF($A71="",0,MIN(IF(P_Baremes!$A$5:$A$400=$A71,P_Baremes!$H$5:$H$400)))</f>
        <v>1.0</v>
      </c>
      <c r="L71" s="34">
        <f>IF($A71="",0,IF($O71="NUM",IF(ISNUMBER($E71),SUMPRODUCT((P_Baremes!$A$5:$A$400=$A71)*(P_Baremes!$B$5:$B$400="PLAGE")*(((P_Baremes!$D$5:$D$400="")+($E71&gt;=P_Baremes!$D$5:$D$400))&gt;0)*(((P_Baremes!$E$5:$E$400="")+($E71&lt;P_Baremes!$E$5:$E$400))&gt;0)),0),SUMPRODUCT((P_Baremes!$A$5:$A$400=$A71)*(P_Baremes!$B$5:$B$400="MODALITE")*(P_Baremes!$C$5:$C$400=$E71))))</f>
        <v>1.0</v>
      </c>
      <c r="M71" s="34">
        <f>IF($A71="",0,IF($L71=0,0,IF($O71="NUM",SUMPRODUCT((P_Baremes!$A$5:$A$400=$A71)*(P_Baremes!$B$5:$B$400="PLAGE")*(((P_Baremes!$D$5:$D$400="")+($E71&gt;=P_Baremes!$D$5:$D$400))&gt;0)*(((P_Baremes!$E$5:$E$400="")+($E71&lt;P_Baremes!$E$5:$E$400))&gt;0)*P_Baremes!$H$5:$H$400),SUMPRODUCT((P_Baremes!$A$5:$A$400=$A71)*(P_Baremes!$B$5:$B$400="MODALITE")*(P_Baremes!$C$5:$C$400=$E71)*P_Baremes!$H$5:$H$400))))</f>
        <v>10.0</v>
      </c>
      <c r="N71" s="5" t="str">
        <f>IF($A71="","",P_Criteres!J32)</f>
        <v>ECONOMIC</v>
      </c>
      <c r="O71" s="5" t="str">
        <f>IF($A71="","",P_Criteres!D32)</f>
        <v>NUM</v>
      </c>
      <c r="P71" s="34">
        <f>IF($A71="",0,IFERROR(INDEX(P_DomPoids,MATCH($B71,P_DomCodes,0)),0))</f>
        <v>0.31</v>
      </c>
      <c r="Q71" s="34">
        <f>P71*G71</f>
        <v>0.031</v>
      </c>
      <c r="R71" s="5">
        <f>IF(J71,IF(ISNUMBER(SEARCH(","&amp;D71&amp;",",","&amp;R70&amp;",")),R70,R70&amp;IF(R70="","",",")&amp;D71),R70)</f>
        <v/>
      </c>
      <c r="S71" s="5">
        <f>IF(I71,S70&amp;IF(S70="","","; ")&amp;"Lever la condition « "&amp;C71&amp;" » avant "&amp;SUBSTITUTE(LOWER(IF(P_Criteres!I32="","TIRAGE",P_Criteres!I32)),"etude","étude"),S70)</f>
        <v/>
      </c>
      <c r="T71" s="5">
        <f>IF(AND(J71,NOT(ISNUMBER(SEARCH(","&amp;D71&amp;",",","&amp;R70&amp;",")))),T70&amp;IF(T70="","",", ")&amp;IFERROR(INDEX(Saisie!$C$13:$C$92,MATCH(D71,In_Cles,0)),D71),T70)</f>
        <v/>
      </c>
      <c r="U71" s="48">
        <f>IF(OR($A71="",N(G71)&lt;=0),"",F71+ROW()/1000000)</f>
        <v>10.000071</v>
      </c>
      <c r="V71" s="5">
        <f>IF($A71="","",IF($E71="","(non renseignée)",IF($O71="QUAL",IFERROR(INDEX(P_Baremes!$F$5:$F$400,SUMPRODUCT(MAX((P_Baremes!$A$5:$A$400=$A71)*(P_Baremes!$B$5:$B$400="MODALITE")*(P_Baremes!$C$5:$C$400=$E71)*(ROW(P_Baremes!$A$5:$A$400)-4)))),$E71),$E71)))</f>
        <v>3.0</v>
      </c>
    </row>
    <row r="72" spans="1:22">
      <c r="A72" s="5" t="str">
        <f>IF(P_Criteres!A33="","",P_Criteres!A33)</f>
        <v>D4C1</v>
      </c>
      <c r="B72" s="5" t="str">
        <f>IF($A72="","",P_Criteres!B33)</f>
        <v>D4</v>
      </c>
      <c r="C72" s="5" t="str">
        <f>IF($A72="","",P_Criteres!C33)</f>
        <v>Marge brute (CA - coûts directs)/CA</v>
      </c>
      <c r="D72" s="5" t="str">
        <f>IF($A72="","",P_Criteres!F33)</f>
        <v>gross_margin_pct</v>
      </c>
      <c r="E72" s="5">
        <f>IF($A72="","",IFERROR(INDEX(In_Retenue,MATCH($D72,In_Cles,0)),""))</f>
        <v>27.0</v>
      </c>
      <c r="F72" s="34">
        <f>IF($A72="",0,ROUND(MIN(P_Scale,MAX(0,IF($L72=0,$K72,$M72))),2))</f>
        <v>10.0</v>
      </c>
      <c r="G72" s="34">
        <f>IF($A72="",0,P_Criteres!E33)</f>
        <v>0.15</v>
      </c>
      <c r="H72" s="34">
        <f>ROUND(F72*G72,2)</f>
        <v>1.5</v>
      </c>
      <c r="I72" s="5" t="b">
        <f>IF($A72="",FALSE,AND(P_Criteres!G33="Oui",ISNUMBER(P_Criteres!H33),F72&lt;=N(P_Criteres!H33)))</f>
        <v>0</v>
      </c>
      <c r="J72" s="5" t="b">
        <f>IF($A72="",FALSE,AND(OR(P_Criteres!G33="Oui",P_Criteres!K33="Oui"),$E72=""))</f>
        <v>0</v>
      </c>
      <c r="K72" s="34">
        <f t="array" ref="K72">IF($A72="",0,MIN(IF(P_Baremes!$A$5:$A$400=$A72,P_Baremes!$H$5:$H$400)))</f>
        <v>1.0</v>
      </c>
      <c r="L72" s="34">
        <f>IF($A72="",0,IF($O72="NUM",IF(ISNUMBER($E72),SUMPRODUCT((P_Baremes!$A$5:$A$400=$A72)*(P_Baremes!$B$5:$B$400="PLAGE")*(((P_Baremes!$D$5:$D$400="")+($E72&gt;=P_Baremes!$D$5:$D$400))&gt;0)*(((P_Baremes!$E$5:$E$400="")+($E72&lt;P_Baremes!$E$5:$E$400))&gt;0)),0),SUMPRODUCT((P_Baremes!$A$5:$A$400=$A72)*(P_Baremes!$B$5:$B$400="MODALITE")*(P_Baremes!$C$5:$C$400=$E72))))</f>
        <v>1.0</v>
      </c>
      <c r="M72" s="34">
        <f>IF($A72="",0,IF($L72=0,0,IF($O72="NUM",SUMPRODUCT((P_Baremes!$A$5:$A$400=$A72)*(P_Baremes!$B$5:$B$400="PLAGE")*(((P_Baremes!$D$5:$D$400="")+($E72&gt;=P_Baremes!$D$5:$D$400))&gt;0)*(((P_Baremes!$E$5:$E$400="")+($E72&lt;P_Baremes!$E$5:$E$400))&gt;0)*P_Baremes!$H$5:$H$400),SUMPRODUCT((P_Baremes!$A$5:$A$400=$A72)*(P_Baremes!$B$5:$B$400="MODALITE")*(P_Baremes!$C$5:$C$400=$E72)*P_Baremes!$H$5:$H$400))))</f>
        <v>10.0</v>
      </c>
      <c r="N72" s="5" t="str">
        <f>IF($A72="","",P_Criteres!J33)</f>
        <v>ECONOMIC</v>
      </c>
      <c r="O72" s="5" t="str">
        <f>IF($A72="","",P_Criteres!D33)</f>
        <v>NUM</v>
      </c>
      <c r="P72" s="34">
        <f>IF($A72="",0,IFERROR(INDEX(P_DomPoids,MATCH($B72,P_DomCodes,0)),0))</f>
        <v>0.24</v>
      </c>
      <c r="Q72" s="34">
        <f>P72*G72</f>
        <v>0.036</v>
      </c>
      <c r="R72" s="5">
        <f>IF(J72,IF(ISNUMBER(SEARCH(","&amp;D72&amp;",",","&amp;R71&amp;",")),R71,R71&amp;IF(R71="","",",")&amp;D72),R71)</f>
        <v/>
      </c>
      <c r="S72" s="5">
        <f>IF(I72,S71&amp;IF(S71="","","; ")&amp;"Lever la condition « "&amp;C72&amp;" » avant "&amp;SUBSTITUTE(LOWER(IF(P_Criteres!I33="","TIRAGE",P_Criteres!I33)),"etude","étude"),S71)</f>
        <v/>
      </c>
      <c r="T72" s="5">
        <f>IF(AND(J72,NOT(ISNUMBER(SEARCH(","&amp;D72&amp;",",","&amp;R71&amp;",")))),T71&amp;IF(T71="","",", ")&amp;IFERROR(INDEX(Saisie!$C$13:$C$92,MATCH(D72,In_Cles,0)),D72),T71)</f>
        <v/>
      </c>
      <c r="U72" s="48">
        <f>IF(OR($A72="",N(G72)&lt;=0),"",F72+ROW()/1000000)</f>
        <v>10.000072</v>
      </c>
      <c r="V72" s="5">
        <f>IF($A72="","",IF($E72="","(non renseignée)",IF($O72="QUAL",IFERROR(INDEX(P_Baremes!$F$5:$F$400,SUMPRODUCT(MAX((P_Baremes!$A$5:$A$400=$A72)*(P_Baremes!$B$5:$B$400="MODALITE")*(P_Baremes!$C$5:$C$400=$E72)*(ROW(P_Baremes!$A$5:$A$400)-4)))),$E72),$E72)))</f>
        <v>27.0</v>
      </c>
    </row>
    <row r="73" spans="1:22">
      <c r="A73" s="5" t="str">
        <f>IF(P_Criteres!A34="","",P_Criteres!A34)</f>
        <v>D4C2</v>
      </c>
      <c r="B73" s="5" t="str">
        <f>IF($A73="","",P_Criteres!B34)</f>
        <v>D4</v>
      </c>
      <c r="C73" s="5" t="str">
        <f>IF($A73="","",P_Criteres!C34)</f>
        <v>LTC (dette / coût total)</v>
      </c>
      <c r="D73" s="5" t="str">
        <f>IF($A73="","",P_Criteres!F34)</f>
        <v>ltc</v>
      </c>
      <c r="E73" s="5">
        <f>IF($A73="","",IFERROR(INDEX(In_Retenue,MATCH($D73,In_Cles,0)),""))</f>
        <v>61.0</v>
      </c>
      <c r="F73" s="34">
        <f>IF($A73="",0,ROUND(MIN(P_Scale,MAX(0,IF($L73=0,$K73,$M73))),2))</f>
        <v>6.0</v>
      </c>
      <c r="G73" s="34">
        <f>IF($A73="",0,P_Criteres!E34)</f>
        <v>0.1</v>
      </c>
      <c r="H73" s="34">
        <f>ROUND(F73*G73,2)</f>
        <v>0.6</v>
      </c>
      <c r="I73" s="5" t="b">
        <f>IF($A73="",FALSE,AND(P_Criteres!G34="Oui",ISNUMBER(P_Criteres!H34),F73&lt;=N(P_Criteres!H34)))</f>
        <v>0</v>
      </c>
      <c r="J73" s="5" t="b">
        <f>IF($A73="",FALSE,AND(OR(P_Criteres!G34="Oui",P_Criteres!K34="Oui"),$E73=""))</f>
        <v>0</v>
      </c>
      <c r="K73" s="34">
        <f t="array" ref="K73">IF($A73="",0,MIN(IF(P_Baremes!$A$5:$A$400=$A73,P_Baremes!$H$5:$H$400)))</f>
        <v>1.0</v>
      </c>
      <c r="L73" s="34">
        <f>IF($A73="",0,IF($O73="NUM",IF(ISNUMBER($E73),SUMPRODUCT((P_Baremes!$A$5:$A$400=$A73)*(P_Baremes!$B$5:$B$400="PLAGE")*(((P_Baremes!$D$5:$D$400="")+($E73&gt;=P_Baremes!$D$5:$D$400))&gt;0)*(((P_Baremes!$E$5:$E$400="")+($E73&lt;P_Baremes!$E$5:$E$400))&gt;0)),0),SUMPRODUCT((P_Baremes!$A$5:$A$400=$A73)*(P_Baremes!$B$5:$B$400="MODALITE")*(P_Baremes!$C$5:$C$400=$E73))))</f>
        <v>1.0</v>
      </c>
      <c r="M73" s="34">
        <f>IF($A73="",0,IF($L73=0,0,IF($O73="NUM",SUMPRODUCT((P_Baremes!$A$5:$A$400=$A73)*(P_Baremes!$B$5:$B$400="PLAGE")*(((P_Baremes!$D$5:$D$400="")+($E73&gt;=P_Baremes!$D$5:$D$400))&gt;0)*(((P_Baremes!$E$5:$E$400="")+($E73&lt;P_Baremes!$E$5:$E$400))&gt;0)*P_Baremes!$H$5:$H$400),SUMPRODUCT((P_Baremes!$A$5:$A$400=$A73)*(P_Baremes!$B$5:$B$400="MODALITE")*(P_Baremes!$C$5:$C$400=$E73)*P_Baremes!$H$5:$H$400))))</f>
        <v>6.0</v>
      </c>
      <c r="N73" s="5" t="str">
        <f>IF($A73="","",P_Criteres!J34)</f>
        <v>ECONOMIC</v>
      </c>
      <c r="O73" s="5" t="str">
        <f>IF($A73="","",P_Criteres!D34)</f>
        <v>NUM</v>
      </c>
      <c r="P73" s="34">
        <f>IF($A73="",0,IFERROR(INDEX(P_DomPoids,MATCH($B73,P_DomCodes,0)),0))</f>
        <v>0.24</v>
      </c>
      <c r="Q73" s="34">
        <f>P73*G73</f>
        <v>0.024</v>
      </c>
      <c r="R73" s="5">
        <f>IF(J73,IF(ISNUMBER(SEARCH(","&amp;D73&amp;",",","&amp;R72&amp;",")),R72,R72&amp;IF(R72="","",",")&amp;D73),R72)</f>
        <v/>
      </c>
      <c r="S73" s="5">
        <f>IF(I73,S72&amp;IF(S72="","","; ")&amp;"Lever la condition « "&amp;C73&amp;" » avant "&amp;SUBSTITUTE(LOWER(IF(P_Criteres!I34="","TIRAGE",P_Criteres!I34)),"etude","étude"),S72)</f>
        <v/>
      </c>
      <c r="T73" s="5">
        <f>IF(AND(J73,NOT(ISNUMBER(SEARCH(","&amp;D73&amp;",",","&amp;R72&amp;",")))),T72&amp;IF(T72="","",", ")&amp;IFERROR(INDEX(Saisie!$C$13:$C$92,MATCH(D73,In_Cles,0)),D73),T72)</f>
        <v/>
      </c>
      <c r="U73" s="48">
        <f>IF(OR($A73="",N(G73)&lt;=0),"",F73+ROW()/1000000)</f>
        <v>6.000073</v>
      </c>
      <c r="V73" s="5">
        <f>IF($A73="","",IF($E73="","(non renseignée)",IF($O73="QUAL",IFERROR(INDEX(P_Baremes!$F$5:$F$400,SUMPRODUCT(MAX((P_Baremes!$A$5:$A$400=$A73)*(P_Baremes!$B$5:$B$400="MODALITE")*(P_Baremes!$C$5:$C$400=$E73)*(ROW(P_Baremes!$A$5:$A$400)-4)))),$E73),$E73)))</f>
        <v>61.0</v>
      </c>
    </row>
    <row r="74" spans="1:22">
      <c r="A74" s="5" t="str">
        <f>IF(P_Criteres!A35="","",P_Criteres!A35)</f>
        <v>D4C3</v>
      </c>
      <c r="B74" s="5" t="str">
        <f>IF($A74="","",P_Criteres!B35)</f>
        <v>D4</v>
      </c>
      <c r="C74" s="5" t="str">
        <f>IF($A74="","",P_Criteres!C35)</f>
        <v>LTV stressée (dette / valeur×0,90)</v>
      </c>
      <c r="D74" s="5" t="str">
        <f>IF($A74="","",P_Criteres!F35)</f>
        <v>ltv_stressed</v>
      </c>
      <c r="E74" s="5">
        <f>IF($A74="","",IFERROR(INDEX(In_Retenue,MATCH($D74,In_Cles,0)),""))</f>
        <v>65.0</v>
      </c>
      <c r="F74" s="34">
        <f>IF($A74="",0,ROUND(MIN(P_Scale,MAX(0,IF($L74=0,$K74,$M74))),2))</f>
        <v>10.0</v>
      </c>
      <c r="G74" s="34">
        <f>IF($A74="",0,P_Criteres!E35)</f>
        <v>0.2</v>
      </c>
      <c r="H74" s="34">
        <f>ROUND(F74*G74,2)</f>
        <v>2.0</v>
      </c>
      <c r="I74" s="5" t="b">
        <f>IF($A74="",FALSE,AND(P_Criteres!G35="Oui",ISNUMBER(P_Criteres!H35),F74&lt;=N(P_Criteres!H35)))</f>
        <v>0</v>
      </c>
      <c r="J74" s="5" t="b">
        <f>IF($A74="",FALSE,AND(OR(P_Criteres!G35="Oui",P_Criteres!K35="Oui"),$E74=""))</f>
        <v>0</v>
      </c>
      <c r="K74" s="34">
        <f t="array" ref="K74">IF($A74="",0,MIN(IF(P_Baremes!$A$5:$A$400=$A74,P_Baremes!$H$5:$H$400)))</f>
        <v>1.0</v>
      </c>
      <c r="L74" s="34">
        <f>IF($A74="",0,IF($O74="NUM",IF(ISNUMBER($E74),SUMPRODUCT((P_Baremes!$A$5:$A$400=$A74)*(P_Baremes!$B$5:$B$400="PLAGE")*(((P_Baremes!$D$5:$D$400="")+($E74&gt;=P_Baremes!$D$5:$D$400))&gt;0)*(((P_Baremes!$E$5:$E$400="")+($E74&lt;P_Baremes!$E$5:$E$400))&gt;0)),0),SUMPRODUCT((P_Baremes!$A$5:$A$400=$A74)*(P_Baremes!$B$5:$B$400="MODALITE")*(P_Baremes!$C$5:$C$400=$E74))))</f>
        <v>1.0</v>
      </c>
      <c r="M74" s="34">
        <f>IF($A74="",0,IF($L74=0,0,IF($O74="NUM",SUMPRODUCT((P_Baremes!$A$5:$A$400=$A74)*(P_Baremes!$B$5:$B$400="PLAGE")*(((P_Baremes!$D$5:$D$400="")+($E74&gt;=P_Baremes!$D$5:$D$400))&gt;0)*(((P_Baremes!$E$5:$E$400="")+($E74&lt;P_Baremes!$E$5:$E$400))&gt;0)*P_Baremes!$H$5:$H$400),SUMPRODUCT((P_Baremes!$A$5:$A$400=$A74)*(P_Baremes!$B$5:$B$400="MODALITE")*(P_Baremes!$C$5:$C$400=$E74)*P_Baremes!$H$5:$H$400))))</f>
        <v>10.0</v>
      </c>
      <c r="N74" s="5" t="str">
        <f>IF($A74="","",P_Criteres!J35)</f>
        <v>GUARANTEE</v>
      </c>
      <c r="O74" s="5" t="str">
        <f>IF($A74="","",P_Criteres!D35)</f>
        <v>NUM</v>
      </c>
      <c r="P74" s="34">
        <f>IF($A74="",0,IFERROR(INDEX(P_DomPoids,MATCH($B74,P_DomCodes,0)),0))</f>
        <v>0.24</v>
      </c>
      <c r="Q74" s="34">
        <f>P74*G74</f>
        <v>0.048</v>
      </c>
      <c r="R74" s="5">
        <f>IF(J74,IF(ISNUMBER(SEARCH(","&amp;D74&amp;",",","&amp;R73&amp;",")),R73,R73&amp;IF(R73="","",",")&amp;D74),R73)</f>
        <v/>
      </c>
      <c r="S74" s="5">
        <f>IF(I74,S73&amp;IF(S73="","","; ")&amp;"Lever la condition « "&amp;C74&amp;" » avant "&amp;SUBSTITUTE(LOWER(IF(P_Criteres!I35="","TIRAGE",P_Criteres!I35)),"etude","étude"),S73)</f>
        <v/>
      </c>
      <c r="T74" s="5">
        <f>IF(AND(J74,NOT(ISNUMBER(SEARCH(","&amp;D74&amp;",",","&amp;R73&amp;",")))),T73&amp;IF(T73="","",", ")&amp;IFERROR(INDEX(Saisie!$C$13:$C$92,MATCH(D74,In_Cles,0)),D74),T73)</f>
        <v/>
      </c>
      <c r="U74" s="48">
        <f>IF(OR($A74="",N(G74)&lt;=0),"",F74+ROW()/1000000)</f>
        <v>10.000074</v>
      </c>
      <c r="V74" s="5">
        <f>IF($A74="","",IF($E74="","(non renseignée)",IF($O74="QUAL",IFERROR(INDEX(P_Baremes!$F$5:$F$400,SUMPRODUCT(MAX((P_Baremes!$A$5:$A$400=$A74)*(P_Baremes!$B$5:$B$400="MODALITE")*(P_Baremes!$C$5:$C$400=$E74)*(ROW(P_Baremes!$A$5:$A$400)-4)))),$E74),$E74)))</f>
        <v>65.0</v>
      </c>
    </row>
    <row r="75" spans="1:22">
      <c r="A75" s="5" t="str">
        <f>IF(P_Criteres!A36="","",P_Criteres!A36)</f>
        <v>D4C4</v>
      </c>
      <c r="B75" s="5" t="str">
        <f>IF($A75="","",P_Criteres!B36)</f>
        <v>D4</v>
      </c>
      <c r="C75" s="5" t="str">
        <f>IF($A75="","",P_Criteres!C36)</f>
        <v>Couverture garanties réalisable</v>
      </c>
      <c r="D75" s="5" t="str">
        <f>IF($A75="","",P_Criteres!F36)</f>
        <v>guarantee_coverage</v>
      </c>
      <c r="E75" s="5">
        <f>IF($A75="","",IFERROR(INDEX(In_Retenue,MATCH($D75,In_Cles,0)),""))</f>
        <v>125.0</v>
      </c>
      <c r="F75" s="34">
        <f>IF($A75="",0,ROUND(MIN(P_Scale,MAX(0,IF($L75=0,$K75,$M75))),2))</f>
        <v>10.0</v>
      </c>
      <c r="G75" s="34">
        <f>IF($A75="",0,P_Criteres!E36)</f>
        <v>0.1</v>
      </c>
      <c r="H75" s="34">
        <f>ROUND(F75*G75,2)</f>
        <v>1.0</v>
      </c>
      <c r="I75" s="5" t="b">
        <f>IF($A75="",FALSE,AND(P_Criteres!G36="Oui",ISNUMBER(P_Criteres!H36),F75&lt;=N(P_Criteres!H36)))</f>
        <v>0</v>
      </c>
      <c r="J75" s="5" t="b">
        <f>IF($A75="",FALSE,AND(OR(P_Criteres!G36="Oui",P_Criteres!K36="Oui"),$E75=""))</f>
        <v>0</v>
      </c>
      <c r="K75" s="34">
        <f t="array" ref="K75">IF($A75="",0,MIN(IF(P_Baremes!$A$5:$A$400=$A75,P_Baremes!$H$5:$H$400)))</f>
        <v>1.0</v>
      </c>
      <c r="L75" s="34">
        <f>IF($A75="",0,IF($O75="NUM",IF(ISNUMBER($E75),SUMPRODUCT((P_Baremes!$A$5:$A$400=$A75)*(P_Baremes!$B$5:$B$400="PLAGE")*(((P_Baremes!$D$5:$D$400="")+($E75&gt;=P_Baremes!$D$5:$D$400))&gt;0)*(((P_Baremes!$E$5:$E$400="")+($E75&lt;P_Baremes!$E$5:$E$400))&gt;0)),0),SUMPRODUCT((P_Baremes!$A$5:$A$400=$A75)*(P_Baremes!$B$5:$B$400="MODALITE")*(P_Baremes!$C$5:$C$400=$E75))))</f>
        <v>1.0</v>
      </c>
      <c r="M75" s="34">
        <f>IF($A75="",0,IF($L75=0,0,IF($O75="NUM",SUMPRODUCT((P_Baremes!$A$5:$A$400=$A75)*(P_Baremes!$B$5:$B$400="PLAGE")*(((P_Baremes!$D$5:$D$400="")+($E75&gt;=P_Baremes!$D$5:$D$400))&gt;0)*(((P_Baremes!$E$5:$E$400="")+($E75&lt;P_Baremes!$E$5:$E$400))&gt;0)*P_Baremes!$H$5:$H$400),SUMPRODUCT((P_Baremes!$A$5:$A$400=$A75)*(P_Baremes!$B$5:$B$400="MODALITE")*(P_Baremes!$C$5:$C$400=$E75)*P_Baremes!$H$5:$H$400))))</f>
        <v>10.0</v>
      </c>
      <c r="N75" s="5" t="str">
        <f>IF($A75="","",P_Criteres!J36)</f>
        <v>GUARANTEE</v>
      </c>
      <c r="O75" s="5" t="str">
        <f>IF($A75="","",P_Criteres!D36)</f>
        <v>NUM</v>
      </c>
      <c r="P75" s="34">
        <f>IF($A75="",0,IFERROR(INDEX(P_DomPoids,MATCH($B75,P_DomCodes,0)),0))</f>
        <v>0.24</v>
      </c>
      <c r="Q75" s="34">
        <f>P75*G75</f>
        <v>0.024</v>
      </c>
      <c r="R75" s="5">
        <f>IF(J75,IF(ISNUMBER(SEARCH(","&amp;D75&amp;",",","&amp;R74&amp;",")),R74,R74&amp;IF(R74="","",",")&amp;D75),R74)</f>
        <v/>
      </c>
      <c r="S75" s="5">
        <f>IF(I75,S74&amp;IF(S74="","","; ")&amp;"Lever la condition « "&amp;C75&amp;" » avant "&amp;SUBSTITUTE(LOWER(IF(P_Criteres!I36="","TIRAGE",P_Criteres!I36)),"etude","étude"),S74)</f>
        <v/>
      </c>
      <c r="T75" s="5">
        <f>IF(AND(J75,NOT(ISNUMBER(SEARCH(","&amp;D75&amp;",",","&amp;R74&amp;",")))),T74&amp;IF(T74="","",", ")&amp;IFERROR(INDEX(Saisie!$C$13:$C$92,MATCH(D75,In_Cles,0)),D75),T74)</f>
        <v/>
      </c>
      <c r="U75" s="48">
        <f>IF(OR($A75="",N(G75)&lt;=0),"",F75+ROW()/1000000)</f>
        <v>10.000075</v>
      </c>
      <c r="V75" s="5">
        <f>IF($A75="","",IF($E75="","(non renseignée)",IF($O75="QUAL",IFERROR(INDEX(P_Baremes!$F$5:$F$400,SUMPRODUCT(MAX((P_Baremes!$A$5:$A$400=$A75)*(P_Baremes!$B$5:$B$400="MODALITE")*(P_Baremes!$C$5:$C$400=$E75)*(ROW(P_Baremes!$A$5:$A$400)-4)))),$E75),$E75)))</f>
        <v>125.0</v>
      </c>
    </row>
    <row r="76" spans="1:22">
      <c r="A76" s="5" t="str">
        <f>IF(P_Criteres!A37="","",P_Criteres!A37)</f>
        <v>D4C5</v>
      </c>
      <c r="B76" s="5" t="str">
        <f>IF($A76="","",P_Criteres!B37)</f>
        <v>D4</v>
      </c>
      <c r="C76" s="5" t="str">
        <f>IF($A76="","",P_Criteres!C37)</f>
        <v>Rang bancaire 1er rang</v>
      </c>
      <c r="D76" s="5" t="str">
        <f>IF($A76="","",P_Criteres!F37)</f>
        <v>first_rank</v>
      </c>
      <c r="E76" s="5" t="str">
        <f>IF($A76="","",IFERROR(INDEX(In_Retenue,MATCH($D76,In_Cles,0)),""))</f>
        <v>oui</v>
      </c>
      <c r="F76" s="34">
        <f>IF($A76="",0,ROUND(MIN(P_Scale,MAX(0,IF($L76=0,$K76,$M76))),2))</f>
        <v>10.0</v>
      </c>
      <c r="G76" s="34">
        <f>IF($A76="",0,P_Criteres!E37)</f>
        <v>0.1</v>
      </c>
      <c r="H76" s="34">
        <f>ROUND(F76*G76,2)</f>
        <v>1.0</v>
      </c>
      <c r="I76" s="5" t="b">
        <f>IF($A76="",FALSE,AND(P_Criteres!G37="Oui",ISNUMBER(P_Criteres!H37),F76&lt;=N(P_Criteres!H37)))</f>
        <v>0</v>
      </c>
      <c r="J76" s="5" t="b">
        <f>IF($A76="",FALSE,AND(OR(P_Criteres!G37="Oui",P_Criteres!K37="Oui"),$E76=""))</f>
        <v>0</v>
      </c>
      <c r="K76" s="34">
        <f t="array" ref="K76">IF($A76="",0,MIN(IF(P_Baremes!$A$5:$A$400=$A76,P_Baremes!$H$5:$H$400)))</f>
        <v>1.0</v>
      </c>
      <c r="L76" s="34">
        <f>IF($A76="",0,IF($O76="NUM",IF(ISNUMBER($E76),SUMPRODUCT((P_Baremes!$A$5:$A$400=$A76)*(P_Baremes!$B$5:$B$400="PLAGE")*(((P_Baremes!$D$5:$D$400="")+($E76&gt;=P_Baremes!$D$5:$D$400))&gt;0)*(((P_Baremes!$E$5:$E$400="")+($E76&lt;P_Baremes!$E$5:$E$400))&gt;0)),0),SUMPRODUCT((P_Baremes!$A$5:$A$400=$A76)*(P_Baremes!$B$5:$B$400="MODALITE")*(P_Baremes!$C$5:$C$400=$E76))))</f>
        <v>1.0</v>
      </c>
      <c r="M76" s="34">
        <f>IF($A76="",0,IF($L76=0,0,IF($O76="NUM",SUMPRODUCT((P_Baremes!$A$5:$A$400=$A76)*(P_Baremes!$B$5:$B$400="PLAGE")*(((P_Baremes!$D$5:$D$400="")+($E76&gt;=P_Baremes!$D$5:$D$400))&gt;0)*(((P_Baremes!$E$5:$E$400="")+($E76&lt;P_Baremes!$E$5:$E$400))&gt;0)*P_Baremes!$H$5:$H$400),SUMPRODUCT((P_Baremes!$A$5:$A$400=$A76)*(P_Baremes!$B$5:$B$400="MODALITE")*(P_Baremes!$C$5:$C$400=$E76)*P_Baremes!$H$5:$H$400))))</f>
        <v>10.0</v>
      </c>
      <c r="N76" s="5" t="str">
        <f>IF($A76="","",P_Criteres!J37)</f>
        <v>GUARANTEE</v>
      </c>
      <c r="O76" s="5" t="str">
        <f>IF($A76="","",P_Criteres!D37)</f>
        <v>QUAL</v>
      </c>
      <c r="P76" s="34">
        <f>IF($A76="",0,IFERROR(INDEX(P_DomPoids,MATCH($B76,P_DomCodes,0)),0))</f>
        <v>0.24</v>
      </c>
      <c r="Q76" s="34">
        <f>P76*G76</f>
        <v>0.024</v>
      </c>
      <c r="R76" s="5">
        <f>IF(J76,IF(ISNUMBER(SEARCH(","&amp;D76&amp;",",","&amp;R75&amp;",")),R75,R75&amp;IF(R75="","",",")&amp;D76),R75)</f>
        <v/>
      </c>
      <c r="S76" s="5">
        <f>IF(I76,S75&amp;IF(S75="","","; ")&amp;"Lever la condition « "&amp;C76&amp;" » avant "&amp;SUBSTITUTE(LOWER(IF(P_Criteres!I37="","TIRAGE",P_Criteres!I37)),"etude","étude"),S75)</f>
        <v/>
      </c>
      <c r="T76" s="5">
        <f>IF(AND(J76,NOT(ISNUMBER(SEARCH(","&amp;D76&amp;",",","&amp;R75&amp;",")))),T75&amp;IF(T75="","",", ")&amp;IFERROR(INDEX(Saisie!$C$13:$C$92,MATCH(D76,In_Cles,0)),D76),T75)</f>
        <v/>
      </c>
      <c r="U76" s="48">
        <f>IF(OR($A76="",N(G76)&lt;=0),"",F76+ROW()/1000000)</f>
        <v>10.000076</v>
      </c>
      <c r="V76" s="5" t="str">
        <f>IF($A76="","",IF($E76="","(non renseignée)",IF($O76="QUAL",IFERROR(INDEX(P_Baremes!$F$5:$F$400,SUMPRODUCT(MAX((P_Baremes!$A$5:$A$400=$A76)*(P_Baremes!$B$5:$B$400="MODALITE")*(P_Baremes!$C$5:$C$400=$E76)*(ROW(P_Baremes!$A$5:$A$400)-4)))),$E76),$E76)))</f>
        <v>1er rang</v>
      </c>
    </row>
    <row r="77" spans="1:22">
      <c r="A77" s="5" t="str">
        <f>IF(P_Criteres!A38="","",P_Criteres!A38)</f>
        <v>D4C6</v>
      </c>
      <c r="B77" s="5" t="str">
        <f>IF($A77="","",P_Criteres!B38)</f>
        <v>D4</v>
      </c>
      <c r="C77" s="5" t="str">
        <f>IF($A77="","",P_Criteres!C38)</f>
        <v>Interest coverage (EBITDA / charges fin.)</v>
      </c>
      <c r="D77" s="5" t="str">
        <f>IF($A77="","",P_Criteres!F38)</f>
        <v>interest_coverage</v>
      </c>
      <c r="E77" s="5">
        <f>IF($A77="","",IFERROR(INDEX(In_Retenue,MATCH($D77,In_Cles,0)),""))</f>
        <v>3.2</v>
      </c>
      <c r="F77" s="34">
        <f>IF($A77="",0,ROUND(MIN(P_Scale,MAX(0,IF($L77=0,$K77,$M77))),2))</f>
        <v>10.0</v>
      </c>
      <c r="G77" s="34">
        <f>IF($A77="",0,P_Criteres!E38)</f>
        <v>0.1</v>
      </c>
      <c r="H77" s="34">
        <f>ROUND(F77*G77,2)</f>
        <v>1.0</v>
      </c>
      <c r="I77" s="5" t="b">
        <f>IF($A77="",FALSE,AND(P_Criteres!G38="Oui",ISNUMBER(P_Criteres!H38),F77&lt;=N(P_Criteres!H38)))</f>
        <v>0</v>
      </c>
      <c r="J77" s="5" t="b">
        <f>IF($A77="",FALSE,AND(OR(P_Criteres!G38="Oui",P_Criteres!K38="Oui"),$E77=""))</f>
        <v>0</v>
      </c>
      <c r="K77" s="34">
        <f t="array" ref="K77">IF($A77="",0,MIN(IF(P_Baremes!$A$5:$A$400=$A77,P_Baremes!$H$5:$H$400)))</f>
        <v>1.0</v>
      </c>
      <c r="L77" s="34">
        <f>IF($A77="",0,IF($O77="NUM",IF(ISNUMBER($E77),SUMPRODUCT((P_Baremes!$A$5:$A$400=$A77)*(P_Baremes!$B$5:$B$400="PLAGE")*(((P_Baremes!$D$5:$D$400="")+($E77&gt;=P_Baremes!$D$5:$D$400))&gt;0)*(((P_Baremes!$E$5:$E$400="")+($E77&lt;P_Baremes!$E$5:$E$400))&gt;0)),0),SUMPRODUCT((P_Baremes!$A$5:$A$400=$A77)*(P_Baremes!$B$5:$B$400="MODALITE")*(P_Baremes!$C$5:$C$400=$E77))))</f>
        <v>1.0</v>
      </c>
      <c r="M77" s="34">
        <f>IF($A77="",0,IF($L77=0,0,IF($O77="NUM",SUMPRODUCT((P_Baremes!$A$5:$A$400=$A77)*(P_Baremes!$B$5:$B$400="PLAGE")*(((P_Baremes!$D$5:$D$400="")+($E77&gt;=P_Baremes!$D$5:$D$400))&gt;0)*(((P_Baremes!$E$5:$E$400="")+($E77&lt;P_Baremes!$E$5:$E$400))&gt;0)*P_Baremes!$H$5:$H$400),SUMPRODUCT((P_Baremes!$A$5:$A$400=$A77)*(P_Baremes!$B$5:$B$400="MODALITE")*(P_Baremes!$C$5:$C$400=$E77)*P_Baremes!$H$5:$H$400))))</f>
        <v>10.0</v>
      </c>
      <c r="N77" s="5" t="str">
        <f>IF($A77="","",P_Criteres!J38)</f>
        <v>ECONOMIC</v>
      </c>
      <c r="O77" s="5" t="str">
        <f>IF($A77="","",P_Criteres!D38)</f>
        <v>NUM</v>
      </c>
      <c r="P77" s="34">
        <f>IF($A77="",0,IFERROR(INDEX(P_DomPoids,MATCH($B77,P_DomCodes,0)),0))</f>
        <v>0.24</v>
      </c>
      <c r="Q77" s="34">
        <f>P77*G77</f>
        <v>0.024</v>
      </c>
      <c r="R77" s="5">
        <f>IF(J77,IF(ISNUMBER(SEARCH(","&amp;D77&amp;",",","&amp;R76&amp;",")),R76,R76&amp;IF(R76="","",",")&amp;D77),R76)</f>
        <v/>
      </c>
      <c r="S77" s="5">
        <f>IF(I77,S76&amp;IF(S76="","","; ")&amp;"Lever la condition « "&amp;C77&amp;" » avant "&amp;SUBSTITUTE(LOWER(IF(P_Criteres!I38="","TIRAGE",P_Criteres!I38)),"etude","étude"),S76)</f>
        <v/>
      </c>
      <c r="T77" s="5">
        <f>IF(AND(J77,NOT(ISNUMBER(SEARCH(","&amp;D77&amp;",",","&amp;R76&amp;",")))),T76&amp;IF(T76="","",", ")&amp;IFERROR(INDEX(Saisie!$C$13:$C$92,MATCH(D77,In_Cles,0)),D77),T76)</f>
        <v/>
      </c>
      <c r="U77" s="48">
        <f>IF(OR($A77="",N(G77)&lt;=0),"",F77+ROW()/1000000)</f>
        <v>10.000077</v>
      </c>
      <c r="V77" s="5">
        <f>IF($A77="","",IF($E77="","(non renseignée)",IF($O77="QUAL",IFERROR(INDEX(P_Baremes!$F$5:$F$400,SUMPRODUCT(MAX((P_Baremes!$A$5:$A$400=$A77)*(P_Baremes!$B$5:$B$400="MODALITE")*(P_Baremes!$C$5:$C$400=$E77)*(ROW(P_Baremes!$A$5:$A$400)-4)))),$E77),$E77)))</f>
        <v>3.2</v>
      </c>
    </row>
    <row r="78" spans="1:22">
      <c r="A78" s="5" t="str">
        <f>IF(P_Criteres!A39="","",P_Criteres!A39)</f>
        <v>D4C7</v>
      </c>
      <c r="B78" s="5" t="str">
        <f>IF($A78="","",P_Criteres!B39)</f>
        <v>D4</v>
      </c>
      <c r="C78" s="5" t="str">
        <f>IF($A78="","",P_Criteres!C39)</f>
        <v>Quotité de désengagement vs équilibre</v>
      </c>
      <c r="D78" s="5" t="str">
        <f>IF($A78="","",P_Criteres!F39)</f>
        <v>release_quotity_gap_pts</v>
      </c>
      <c r="E78" s="5">
        <f>IF($A78="","",IFERROR(INDEX(In_Retenue,MATCH($D78,In_Cles,0)),""))</f>
        <v>5.0</v>
      </c>
      <c r="F78" s="34">
        <f>IF($A78="",0,ROUND(MIN(P_Scale,MAX(0,IF($L78=0,$K78,$M78))),2))</f>
        <v>10.0</v>
      </c>
      <c r="G78" s="34">
        <f>IF($A78="",0,P_Criteres!E39)</f>
        <v>0.05</v>
      </c>
      <c r="H78" s="34">
        <f>ROUND(F78*G78,2)</f>
        <v>0.5</v>
      </c>
      <c r="I78" s="5" t="b">
        <f>IF($A78="",FALSE,AND(P_Criteres!G39="Oui",ISNUMBER(P_Criteres!H39),F78&lt;=N(P_Criteres!H39)))</f>
        <v>0</v>
      </c>
      <c r="J78" s="5" t="b">
        <f>IF($A78="",FALSE,AND(OR(P_Criteres!G39="Oui",P_Criteres!K39="Oui"),$E78=""))</f>
        <v>0</v>
      </c>
      <c r="K78" s="34">
        <f t="array" ref="K78">IF($A78="",0,MIN(IF(P_Baremes!$A$5:$A$400=$A78,P_Baremes!$H$5:$H$400)))</f>
        <v>1.0</v>
      </c>
      <c r="L78" s="34">
        <f>IF($A78="",0,IF($O78="NUM",IF(ISNUMBER($E78),SUMPRODUCT((P_Baremes!$A$5:$A$400=$A78)*(P_Baremes!$B$5:$B$400="PLAGE")*(((P_Baremes!$D$5:$D$400="")+($E78&gt;=P_Baremes!$D$5:$D$400))&gt;0)*(((P_Baremes!$E$5:$E$400="")+($E78&lt;P_Baremes!$E$5:$E$400))&gt;0)),0),SUMPRODUCT((P_Baremes!$A$5:$A$400=$A78)*(P_Baremes!$B$5:$B$400="MODALITE")*(P_Baremes!$C$5:$C$400=$E78))))</f>
        <v>1.0</v>
      </c>
      <c r="M78" s="34">
        <f>IF($A78="",0,IF($L78=0,0,IF($O78="NUM",SUMPRODUCT((P_Baremes!$A$5:$A$400=$A78)*(P_Baremes!$B$5:$B$400="PLAGE")*(((P_Baremes!$D$5:$D$400="")+($E78&gt;=P_Baremes!$D$5:$D$400))&gt;0)*(((P_Baremes!$E$5:$E$400="")+($E78&lt;P_Baremes!$E$5:$E$400))&gt;0)*P_Baremes!$H$5:$H$400),SUMPRODUCT((P_Baremes!$A$5:$A$400=$A78)*(P_Baremes!$B$5:$B$400="MODALITE")*(P_Baremes!$C$5:$C$400=$E78)*P_Baremes!$H$5:$H$400))))</f>
        <v>10.0</v>
      </c>
      <c r="N78" s="5" t="str">
        <f>IF($A78="","",P_Criteres!J39)</f>
        <v>GUARANTEE</v>
      </c>
      <c r="O78" s="5" t="str">
        <f>IF($A78="","",P_Criteres!D39)</f>
        <v>NUM</v>
      </c>
      <c r="P78" s="34">
        <f>IF($A78="",0,IFERROR(INDEX(P_DomPoids,MATCH($B78,P_DomCodes,0)),0))</f>
        <v>0.24</v>
      </c>
      <c r="Q78" s="34">
        <f>P78*G78</f>
        <v>0.012</v>
      </c>
      <c r="R78" s="5">
        <f>IF(J78,IF(ISNUMBER(SEARCH(","&amp;D78&amp;",",","&amp;R77&amp;",")),R77,R77&amp;IF(R77="","",",")&amp;D78),R77)</f>
        <v/>
      </c>
      <c r="S78" s="5">
        <f>IF(I78,S77&amp;IF(S77="","","; ")&amp;"Lever la condition « "&amp;C78&amp;" » avant "&amp;SUBSTITUTE(LOWER(IF(P_Criteres!I39="","TIRAGE",P_Criteres!I39)),"etude","étude"),S77)</f>
        <v/>
      </c>
      <c r="T78" s="5">
        <f>IF(AND(J78,NOT(ISNUMBER(SEARCH(","&amp;D78&amp;",",","&amp;R77&amp;",")))),T77&amp;IF(T77="","",", ")&amp;IFERROR(INDEX(Saisie!$C$13:$C$92,MATCH(D78,In_Cles,0)),D78),T77)</f>
        <v/>
      </c>
      <c r="U78" s="48">
        <f>IF(OR($A78="",N(G78)&lt;=0),"",F78+ROW()/1000000)</f>
        <v>10.000078</v>
      </c>
      <c r="V78" s="5">
        <f>IF($A78="","",IF($E78="","(non renseignée)",IF($O78="QUAL",IFERROR(INDEX(P_Baremes!$F$5:$F$400,SUMPRODUCT(MAX((P_Baremes!$A$5:$A$400=$A78)*(P_Baremes!$B$5:$B$400="MODALITE")*(P_Baremes!$C$5:$C$400=$E78)*(ROW(P_Baremes!$A$5:$A$400)-4)))),$E78),$E78)))</f>
        <v>5.0</v>
      </c>
    </row>
    <row r="79" spans="1:22">
      <c r="A79" s="5" t="str">
        <f>IF(P_Criteres!A40="","",P_Criteres!A40)</f>
        <v>D4C8</v>
      </c>
      <c r="B79" s="5" t="str">
        <f>IF($A79="","",P_Criteres!B40)</f>
        <v>D4</v>
      </c>
      <c r="C79" s="5" t="str">
        <f>IF($A79="","",P_Criteres!C40)</f>
        <v>Déblocages vs avancement certifié</v>
      </c>
      <c r="D79" s="5" t="str">
        <f>IF($A79="","",P_Criteres!F40)</f>
        <v>drawdown_vs_progress_pct</v>
      </c>
      <c r="E79" s="5">
        <f>IF($A79="","",IFERROR(INDEX(In_Retenue,MATCH($D79,In_Cles,0)),""))</f>
        <v>98.0</v>
      </c>
      <c r="F79" s="34">
        <f>IF($A79="",0,ROUND(MIN(P_Scale,MAX(0,IF($L79=0,$K79,$M79))),2))</f>
        <v>10.0</v>
      </c>
      <c r="G79" s="34">
        <f>IF($A79="",0,P_Criteres!E40)</f>
        <v>0.1</v>
      </c>
      <c r="H79" s="34">
        <f>ROUND(F79*G79,2)</f>
        <v>1.0</v>
      </c>
      <c r="I79" s="5" t="b">
        <f>IF($A79="",FALSE,AND(P_Criteres!G40="Oui",ISNUMBER(P_Criteres!H40),F79&lt;=N(P_Criteres!H40)))</f>
        <v>0</v>
      </c>
      <c r="J79" s="5" t="b">
        <f>IF($A79="",FALSE,AND(OR(P_Criteres!G40="Oui",P_Criteres!K40="Oui"),$E79=""))</f>
        <v>0</v>
      </c>
      <c r="K79" s="34">
        <f t="array" ref="K79">IF($A79="",0,MIN(IF(P_Baremes!$A$5:$A$400=$A79,P_Baremes!$H$5:$H$400)))</f>
        <v>1.0</v>
      </c>
      <c r="L79" s="34">
        <f>IF($A79="",0,IF($O79="NUM",IF(ISNUMBER($E79),SUMPRODUCT((P_Baremes!$A$5:$A$400=$A79)*(P_Baremes!$B$5:$B$400="PLAGE")*(((P_Baremes!$D$5:$D$400="")+($E79&gt;=P_Baremes!$D$5:$D$400))&gt;0)*(((P_Baremes!$E$5:$E$400="")+($E79&lt;P_Baremes!$E$5:$E$400))&gt;0)),0),SUMPRODUCT((P_Baremes!$A$5:$A$400=$A79)*(P_Baremes!$B$5:$B$400="MODALITE")*(P_Baremes!$C$5:$C$400=$E79))))</f>
        <v>1.0</v>
      </c>
      <c r="M79" s="34">
        <f>IF($A79="",0,IF($L79=0,0,IF($O79="NUM",SUMPRODUCT((P_Baremes!$A$5:$A$400=$A79)*(P_Baremes!$B$5:$B$400="PLAGE")*(((P_Baremes!$D$5:$D$400="")+($E79&gt;=P_Baremes!$D$5:$D$400))&gt;0)*(((P_Baremes!$E$5:$E$400="")+($E79&lt;P_Baremes!$E$5:$E$400))&gt;0)*P_Baremes!$H$5:$H$400),SUMPRODUCT((P_Baremes!$A$5:$A$400=$A79)*(P_Baremes!$B$5:$B$400="MODALITE")*(P_Baremes!$C$5:$C$400=$E79)*P_Baremes!$H$5:$H$400))))</f>
        <v>10.0</v>
      </c>
      <c r="N79" s="5" t="str">
        <f>IF($A79="","",P_Criteres!J40)</f>
        <v>GUARANTEE</v>
      </c>
      <c r="O79" s="5" t="str">
        <f>IF($A79="","",P_Criteres!D40)</f>
        <v>NUM</v>
      </c>
      <c r="P79" s="34">
        <f>IF($A79="",0,IFERROR(INDEX(P_DomPoids,MATCH($B79,P_DomCodes,0)),0))</f>
        <v>0.24</v>
      </c>
      <c r="Q79" s="34">
        <f>P79*G79</f>
        <v>0.024</v>
      </c>
      <c r="R79" s="5">
        <f>IF(J79,IF(ISNUMBER(SEARCH(","&amp;D79&amp;",",","&amp;R78&amp;",")),R78,R78&amp;IF(R78="","",",")&amp;D79),R78)</f>
        <v/>
      </c>
      <c r="S79" s="5">
        <f>IF(I79,S78&amp;IF(S78="","","; ")&amp;"Lever la condition « "&amp;C79&amp;" » avant "&amp;SUBSTITUTE(LOWER(IF(P_Criteres!I40="","TIRAGE",P_Criteres!I40)),"etude","étude"),S78)</f>
        <v/>
      </c>
      <c r="T79" s="5">
        <f>IF(AND(J79,NOT(ISNUMBER(SEARCH(","&amp;D79&amp;",",","&amp;R78&amp;",")))),T78&amp;IF(T78="","",", ")&amp;IFERROR(INDEX(Saisie!$C$13:$C$92,MATCH(D79,In_Cles,0)),D79),T78)</f>
        <v/>
      </c>
      <c r="U79" s="48">
        <f>IF(OR($A79="",N(G79)&lt;=0),"",F79+ROW()/1000000)</f>
        <v>10.000079</v>
      </c>
      <c r="V79" s="5">
        <f>IF($A79="","",IF($E79="","(non renseignée)",IF($O79="QUAL",IFERROR(INDEX(P_Baremes!$F$5:$F$400,SUMPRODUCT(MAX((P_Baremes!$A$5:$A$400=$A79)*(P_Baremes!$B$5:$B$400="MODALITE")*(P_Baremes!$C$5:$C$400=$E79)*(ROW(P_Baremes!$A$5:$A$400)-4)))),$E79),$E79)))</f>
        <v>98.0</v>
      </c>
    </row>
    <row r="80" spans="1:22">
      <c r="A80" s="5" t="str">
        <f>IF(P_Criteres!A41="","",P_Criteres!A41)</f>
        <v>D4C9</v>
      </c>
      <c r="B80" s="5" t="str">
        <f>IF($A80="","",P_Criteres!B41)</f>
        <v>D4</v>
      </c>
      <c r="C80" s="5" t="str">
        <f>IF($A80="","",P_Criteres!C41)</f>
        <v>Dépassement du coût à terminaison</v>
      </c>
      <c r="D80" s="5" t="str">
        <f>IF($A80="","",P_Criteres!F41)</f>
        <v>cost_overrun_pct</v>
      </c>
      <c r="E80" s="5">
        <f>IF($A80="","",IFERROR(INDEX(In_Retenue,MATCH($D80,In_Cles,0)),""))</f>
        <v>2.0</v>
      </c>
      <c r="F80" s="34">
        <f>IF($A80="",0,ROUND(MIN(P_Scale,MAX(0,IF($L80=0,$K80,$M80))),2))</f>
        <v>10.0</v>
      </c>
      <c r="G80" s="34">
        <f>IF($A80="",0,P_Criteres!E41)</f>
        <v>0.1</v>
      </c>
      <c r="H80" s="34">
        <f>ROUND(F80*G80,2)</f>
        <v>1.0</v>
      </c>
      <c r="I80" s="5" t="b">
        <f>IF($A80="",FALSE,AND(P_Criteres!G41="Oui",ISNUMBER(P_Criteres!H41),F80&lt;=N(P_Criteres!H41)))</f>
        <v>0</v>
      </c>
      <c r="J80" s="5" t="b">
        <f>IF($A80="",FALSE,AND(OR(P_Criteres!G41="Oui",P_Criteres!K41="Oui"),$E80=""))</f>
        <v>0</v>
      </c>
      <c r="K80" s="34">
        <f t="array" ref="K80">IF($A80="",0,MIN(IF(P_Baremes!$A$5:$A$400=$A80,P_Baremes!$H$5:$H$400)))</f>
        <v>1.0</v>
      </c>
      <c r="L80" s="34">
        <f>IF($A80="",0,IF($O80="NUM",IF(ISNUMBER($E80),SUMPRODUCT((P_Baremes!$A$5:$A$400=$A80)*(P_Baremes!$B$5:$B$400="PLAGE")*(((P_Baremes!$D$5:$D$400="")+($E80&gt;=P_Baremes!$D$5:$D$400))&gt;0)*(((P_Baremes!$E$5:$E$400="")+($E80&lt;P_Baremes!$E$5:$E$400))&gt;0)),0),SUMPRODUCT((P_Baremes!$A$5:$A$400=$A80)*(P_Baremes!$B$5:$B$400="MODALITE")*(P_Baremes!$C$5:$C$400=$E80))))</f>
        <v>1.0</v>
      </c>
      <c r="M80" s="34">
        <f>IF($A80="",0,IF($L80=0,0,IF($O80="NUM",SUMPRODUCT((P_Baremes!$A$5:$A$400=$A80)*(P_Baremes!$B$5:$B$400="PLAGE")*(((P_Baremes!$D$5:$D$400="")+($E80&gt;=P_Baremes!$D$5:$D$400))&gt;0)*(((P_Baremes!$E$5:$E$400="")+($E80&lt;P_Baremes!$E$5:$E$400))&gt;0)*P_Baremes!$H$5:$H$400),SUMPRODUCT((P_Baremes!$A$5:$A$400=$A80)*(P_Baremes!$B$5:$B$400="MODALITE")*(P_Baremes!$C$5:$C$400=$E80)*P_Baremes!$H$5:$H$400))))</f>
        <v>10.0</v>
      </c>
      <c r="N80" s="5" t="str">
        <f>IF($A80="","",P_Criteres!J41)</f>
        <v>ECONOMIC</v>
      </c>
      <c r="O80" s="5" t="str">
        <f>IF($A80="","",P_Criteres!D41)</f>
        <v>NUM</v>
      </c>
      <c r="P80" s="34">
        <f>IF($A80="",0,IFERROR(INDEX(P_DomPoids,MATCH($B80,P_DomCodes,0)),0))</f>
        <v>0.24</v>
      </c>
      <c r="Q80" s="34">
        <f>P80*G80</f>
        <v>0.024</v>
      </c>
      <c r="R80" s="5">
        <f>IF(J80,IF(ISNUMBER(SEARCH(","&amp;D80&amp;",",","&amp;R79&amp;",")),R79,R79&amp;IF(R79="","",",")&amp;D80),R79)</f>
        <v/>
      </c>
      <c r="S80" s="5">
        <f>IF(I80,S79&amp;IF(S79="","","; ")&amp;"Lever la condition « "&amp;C80&amp;" » avant "&amp;SUBSTITUTE(LOWER(IF(P_Criteres!I41="","TIRAGE",P_Criteres!I41)),"etude","étude"),S79)</f>
        <v/>
      </c>
      <c r="T80" s="5">
        <f>IF(AND(J80,NOT(ISNUMBER(SEARCH(","&amp;D80&amp;",",","&amp;R79&amp;",")))),T79&amp;IF(T79="","",", ")&amp;IFERROR(INDEX(Saisie!$C$13:$C$92,MATCH(D80,In_Cles,0)),D80),T79)</f>
        <v/>
      </c>
      <c r="U80" s="48">
        <f>IF(OR($A80="",N(G80)&lt;=0),"",F80+ROW()/1000000)</f>
        <v>10.00008</v>
      </c>
      <c r="V80" s="5">
        <f>IF($A80="","",IF($E80="","(non renseignée)",IF($O80="QUAL",IFERROR(INDEX(P_Baremes!$F$5:$F$400,SUMPRODUCT(MAX((P_Baremes!$A$5:$A$400=$A80)*(P_Baremes!$B$5:$B$400="MODALITE")*(P_Baremes!$C$5:$C$400=$E80)*(ROW(P_Baremes!$A$5:$A$400)-4)))),$E80),$E80)))</f>
        <v>2.0</v>
      </c>
    </row>
    <row r="81" spans="1:22">
      <c r="A81" s="5">
        <f>IF(P_Criteres!A42="","",P_Criteres!A42)</f>
        <v/>
      </c>
      <c r="B81" s="5">
        <f>IF($A81="","",P_Criteres!B42)</f>
        <v/>
      </c>
      <c r="C81" s="5">
        <f>IF($A81="","",P_Criteres!C42)</f>
        <v/>
      </c>
      <c r="D81" s="5">
        <f>IF($A81="","",P_Criteres!F42)</f>
        <v/>
      </c>
      <c r="E81" s="5">
        <f>IF($A81="","",IFERROR(INDEX(In_Retenue,MATCH($D81,In_Cles,0)),""))</f>
        <v/>
      </c>
      <c r="F81" s="34">
        <f>IF($A81="",0,ROUND(MIN(P_Scale,MAX(0,IF($L81=0,$K81,$M81))),2))</f>
        <v>0.0</v>
      </c>
      <c r="G81" s="34">
        <f>IF($A81="",0,P_Criteres!E42)</f>
        <v>0.0</v>
      </c>
      <c r="H81" s="34">
        <f>ROUND(F81*G81,2)</f>
        <v>0.0</v>
      </c>
      <c r="I81" s="5" t="b">
        <f>IF($A81="",FALSE,AND(P_Criteres!G42="Oui",ISNUMBER(P_Criteres!H42),F81&lt;=N(P_Criteres!H42)))</f>
        <v>0</v>
      </c>
      <c r="J81" s="5" t="b">
        <f>IF($A81="",FALSE,AND(OR(P_Criteres!G42="Oui",P_Criteres!K42="Oui"),$E81=""))</f>
        <v>0</v>
      </c>
      <c r="K81" s="34">
        <f t="array" ref="K81">IF($A81="",0,MIN(IF(P_Baremes!$A$5:$A$400=$A81,P_Baremes!$H$5:$H$400)))</f>
        <v>0.0</v>
      </c>
      <c r="L81" s="34">
        <f>IF($A81="",0,IF($O81="NUM",IF(ISNUMBER($E81),SUMPRODUCT((P_Baremes!$A$5:$A$400=$A81)*(P_Baremes!$B$5:$B$400="PLAGE")*(((P_Baremes!$D$5:$D$400="")+($E81&gt;=P_Baremes!$D$5:$D$400))&gt;0)*(((P_Baremes!$E$5:$E$400="")+($E81&lt;P_Baremes!$E$5:$E$400))&gt;0)),0),SUMPRODUCT((P_Baremes!$A$5:$A$400=$A81)*(P_Baremes!$B$5:$B$400="MODALITE")*(P_Baremes!$C$5:$C$400=$E81))))</f>
        <v>0.0</v>
      </c>
      <c r="M81" s="34">
        <f>IF($A81="",0,IF($L81=0,0,IF($O81="NUM",SUMPRODUCT((P_Baremes!$A$5:$A$400=$A81)*(P_Baremes!$B$5:$B$400="PLAGE")*(((P_Baremes!$D$5:$D$400="")+($E81&gt;=P_Baremes!$D$5:$D$400))&gt;0)*(((P_Baremes!$E$5:$E$400="")+($E81&lt;P_Baremes!$E$5:$E$400))&gt;0)*P_Baremes!$H$5:$H$400),SUMPRODUCT((P_Baremes!$A$5:$A$400=$A81)*(P_Baremes!$B$5:$B$400="MODALITE")*(P_Baremes!$C$5:$C$400=$E81)*P_Baremes!$H$5:$H$400))))</f>
        <v>0.0</v>
      </c>
      <c r="N81" s="5">
        <f>IF($A81="","",P_Criteres!J42)</f>
        <v/>
      </c>
      <c r="O81" s="5">
        <f>IF($A81="","",P_Criteres!D42)</f>
        <v/>
      </c>
      <c r="P81" s="34">
        <f>IF($A81="",0,IFERROR(INDEX(P_DomPoids,MATCH($B81,P_DomCodes,0)),0))</f>
        <v>0.0</v>
      </c>
      <c r="Q81" s="34">
        <f>P81*G81</f>
        <v>0.0</v>
      </c>
      <c r="R81" s="5">
        <f>IF(J81,IF(ISNUMBER(SEARCH(","&amp;D81&amp;",",","&amp;R80&amp;",")),R80,R80&amp;IF(R80="","",",")&amp;D81),R80)</f>
        <v/>
      </c>
      <c r="S81" s="5">
        <f>IF(I81,S80&amp;IF(S80="","","; ")&amp;"Lever la condition « "&amp;C81&amp;" » avant "&amp;SUBSTITUTE(LOWER(IF(P_Criteres!I42="","TIRAGE",P_Criteres!I42)),"etude","étude"),S80)</f>
        <v/>
      </c>
      <c r="T81" s="5">
        <f>IF(AND(J81,NOT(ISNUMBER(SEARCH(","&amp;D81&amp;",",","&amp;R80&amp;",")))),T80&amp;IF(T80="","",", ")&amp;IFERROR(INDEX(Saisie!$C$13:$C$92,MATCH(D81,In_Cles,0)),D81),T80)</f>
        <v/>
      </c>
      <c r="U81" s="48">
        <f>IF(OR($A81="",N(G81)&lt;=0),"",F81+ROW()/1000000)</f>
        <v/>
      </c>
      <c r="V81" s="5">
        <f>IF($A81="","",IF($E81="","(non renseignée)",IF($O81="QUAL",IFERROR(INDEX(P_Baremes!$F$5:$F$400,SUMPRODUCT(MAX((P_Baremes!$A$5:$A$400=$A81)*(P_Baremes!$B$5:$B$400="MODALITE")*(P_Baremes!$C$5:$C$400=$E81)*(ROW(P_Baremes!$A$5:$A$400)-4)))),$E81),$E81)))</f>
        <v/>
      </c>
    </row>
    <row r="82" spans="1:22">
      <c r="A82" s="5">
        <f>IF(P_Criteres!A43="","",P_Criteres!A43)</f>
        <v/>
      </c>
      <c r="B82" s="5">
        <f>IF($A82="","",P_Criteres!B43)</f>
        <v/>
      </c>
      <c r="C82" s="5">
        <f>IF($A82="","",P_Criteres!C43)</f>
        <v/>
      </c>
      <c r="D82" s="5">
        <f>IF($A82="","",P_Criteres!F43)</f>
        <v/>
      </c>
      <c r="E82" s="5">
        <f>IF($A82="","",IFERROR(INDEX(In_Retenue,MATCH($D82,In_Cles,0)),""))</f>
        <v/>
      </c>
      <c r="F82" s="34">
        <f>IF($A82="",0,ROUND(MIN(P_Scale,MAX(0,IF($L82=0,$K82,$M82))),2))</f>
        <v>0.0</v>
      </c>
      <c r="G82" s="34">
        <f>IF($A82="",0,P_Criteres!E43)</f>
        <v>0.0</v>
      </c>
      <c r="H82" s="34">
        <f>ROUND(F82*G82,2)</f>
        <v>0.0</v>
      </c>
      <c r="I82" s="5" t="b">
        <f>IF($A82="",FALSE,AND(P_Criteres!G43="Oui",ISNUMBER(P_Criteres!H43),F82&lt;=N(P_Criteres!H43)))</f>
        <v>0</v>
      </c>
      <c r="J82" s="5" t="b">
        <f>IF($A82="",FALSE,AND(OR(P_Criteres!G43="Oui",P_Criteres!K43="Oui"),$E82=""))</f>
        <v>0</v>
      </c>
      <c r="K82" s="34">
        <f t="array" ref="K82">IF($A82="",0,MIN(IF(P_Baremes!$A$5:$A$400=$A82,P_Baremes!$H$5:$H$400)))</f>
        <v>0.0</v>
      </c>
      <c r="L82" s="34">
        <f>IF($A82="",0,IF($O82="NUM",IF(ISNUMBER($E82),SUMPRODUCT((P_Baremes!$A$5:$A$400=$A82)*(P_Baremes!$B$5:$B$400="PLAGE")*(((P_Baremes!$D$5:$D$400="")+($E82&gt;=P_Baremes!$D$5:$D$400))&gt;0)*(((P_Baremes!$E$5:$E$400="")+($E82&lt;P_Baremes!$E$5:$E$400))&gt;0)),0),SUMPRODUCT((P_Baremes!$A$5:$A$400=$A82)*(P_Baremes!$B$5:$B$400="MODALITE")*(P_Baremes!$C$5:$C$400=$E82))))</f>
        <v>0.0</v>
      </c>
      <c r="M82" s="34">
        <f>IF($A82="",0,IF($L82=0,0,IF($O82="NUM",SUMPRODUCT((P_Baremes!$A$5:$A$400=$A82)*(P_Baremes!$B$5:$B$400="PLAGE")*(((P_Baremes!$D$5:$D$400="")+($E82&gt;=P_Baremes!$D$5:$D$400))&gt;0)*(((P_Baremes!$E$5:$E$400="")+($E82&lt;P_Baremes!$E$5:$E$400))&gt;0)*P_Baremes!$H$5:$H$400),SUMPRODUCT((P_Baremes!$A$5:$A$400=$A82)*(P_Baremes!$B$5:$B$400="MODALITE")*(P_Baremes!$C$5:$C$400=$E82)*P_Baremes!$H$5:$H$400))))</f>
        <v>0.0</v>
      </c>
      <c r="N82" s="5">
        <f>IF($A82="","",P_Criteres!J43)</f>
        <v/>
      </c>
      <c r="O82" s="5">
        <f>IF($A82="","",P_Criteres!D43)</f>
        <v/>
      </c>
      <c r="P82" s="34">
        <f>IF($A82="",0,IFERROR(INDEX(P_DomPoids,MATCH($B82,P_DomCodes,0)),0))</f>
        <v>0.0</v>
      </c>
      <c r="Q82" s="34">
        <f>P82*G82</f>
        <v>0.0</v>
      </c>
      <c r="R82" s="5">
        <f>IF(J82,IF(ISNUMBER(SEARCH(","&amp;D82&amp;",",","&amp;R81&amp;",")),R81,R81&amp;IF(R81="","",",")&amp;D82),R81)</f>
        <v/>
      </c>
      <c r="S82" s="5">
        <f>IF(I82,S81&amp;IF(S81="","","; ")&amp;"Lever la condition « "&amp;C82&amp;" » avant "&amp;SUBSTITUTE(LOWER(IF(P_Criteres!I43="","TIRAGE",P_Criteres!I43)),"etude","étude"),S81)</f>
        <v/>
      </c>
      <c r="T82" s="5">
        <f>IF(AND(J82,NOT(ISNUMBER(SEARCH(","&amp;D82&amp;",",","&amp;R81&amp;",")))),T81&amp;IF(T81="","",", ")&amp;IFERROR(INDEX(Saisie!$C$13:$C$92,MATCH(D82,In_Cles,0)),D82),T81)</f>
        <v/>
      </c>
      <c r="U82" s="48">
        <f>IF(OR($A82="",N(G82)&lt;=0),"",F82+ROW()/1000000)</f>
        <v/>
      </c>
      <c r="V82" s="5">
        <f>IF($A82="","",IF($E82="","(non renseignée)",IF($O82="QUAL",IFERROR(INDEX(P_Baremes!$F$5:$F$400,SUMPRODUCT(MAX((P_Baremes!$A$5:$A$400=$A82)*(P_Baremes!$B$5:$B$400="MODALITE")*(P_Baremes!$C$5:$C$400=$E82)*(ROW(P_Baremes!$A$5:$A$400)-4)))),$E82),$E82)))</f>
        <v/>
      </c>
    </row>
    <row r="83" spans="1:22">
      <c r="A83" s="5">
        <f>IF(P_Criteres!A44="","",P_Criteres!A44)</f>
        <v/>
      </c>
      <c r="B83" s="5">
        <f>IF($A83="","",P_Criteres!B44)</f>
        <v/>
      </c>
      <c r="C83" s="5">
        <f>IF($A83="","",P_Criteres!C44)</f>
        <v/>
      </c>
      <c r="D83" s="5">
        <f>IF($A83="","",P_Criteres!F44)</f>
        <v/>
      </c>
      <c r="E83" s="5">
        <f>IF($A83="","",IFERROR(INDEX(In_Retenue,MATCH($D83,In_Cles,0)),""))</f>
        <v/>
      </c>
      <c r="F83" s="34">
        <f>IF($A83="",0,ROUND(MIN(P_Scale,MAX(0,IF($L83=0,$K83,$M83))),2))</f>
        <v>0.0</v>
      </c>
      <c r="G83" s="34">
        <f>IF($A83="",0,P_Criteres!E44)</f>
        <v>0.0</v>
      </c>
      <c r="H83" s="34">
        <f>ROUND(F83*G83,2)</f>
        <v>0.0</v>
      </c>
      <c r="I83" s="5" t="b">
        <f>IF($A83="",FALSE,AND(P_Criteres!G44="Oui",ISNUMBER(P_Criteres!H44),F83&lt;=N(P_Criteres!H44)))</f>
        <v>0</v>
      </c>
      <c r="J83" s="5" t="b">
        <f>IF($A83="",FALSE,AND(OR(P_Criteres!G44="Oui",P_Criteres!K44="Oui"),$E83=""))</f>
        <v>0</v>
      </c>
      <c r="K83" s="34">
        <f t="array" ref="K83">IF($A83="",0,MIN(IF(P_Baremes!$A$5:$A$400=$A83,P_Baremes!$H$5:$H$400)))</f>
        <v>0.0</v>
      </c>
      <c r="L83" s="34">
        <f>IF($A83="",0,IF($O83="NUM",IF(ISNUMBER($E83),SUMPRODUCT((P_Baremes!$A$5:$A$400=$A83)*(P_Baremes!$B$5:$B$400="PLAGE")*(((P_Baremes!$D$5:$D$400="")+($E83&gt;=P_Baremes!$D$5:$D$400))&gt;0)*(((P_Baremes!$E$5:$E$400="")+($E83&lt;P_Baremes!$E$5:$E$400))&gt;0)),0),SUMPRODUCT((P_Baremes!$A$5:$A$400=$A83)*(P_Baremes!$B$5:$B$400="MODALITE")*(P_Baremes!$C$5:$C$400=$E83))))</f>
        <v>0.0</v>
      </c>
      <c r="M83" s="34">
        <f>IF($A83="",0,IF($L83=0,0,IF($O83="NUM",SUMPRODUCT((P_Baremes!$A$5:$A$400=$A83)*(P_Baremes!$B$5:$B$400="PLAGE")*(((P_Baremes!$D$5:$D$400="")+($E83&gt;=P_Baremes!$D$5:$D$400))&gt;0)*(((P_Baremes!$E$5:$E$400="")+($E83&lt;P_Baremes!$E$5:$E$400))&gt;0)*P_Baremes!$H$5:$H$400),SUMPRODUCT((P_Baremes!$A$5:$A$400=$A83)*(P_Baremes!$B$5:$B$400="MODALITE")*(P_Baremes!$C$5:$C$400=$E83)*P_Baremes!$H$5:$H$400))))</f>
        <v>0.0</v>
      </c>
      <c r="N83" s="5">
        <f>IF($A83="","",P_Criteres!J44)</f>
        <v/>
      </c>
      <c r="O83" s="5">
        <f>IF($A83="","",P_Criteres!D44)</f>
        <v/>
      </c>
      <c r="P83" s="34">
        <f>IF($A83="",0,IFERROR(INDEX(P_DomPoids,MATCH($B83,P_DomCodes,0)),0))</f>
        <v>0.0</v>
      </c>
      <c r="Q83" s="34">
        <f>P83*G83</f>
        <v>0.0</v>
      </c>
      <c r="R83" s="5">
        <f>IF(J83,IF(ISNUMBER(SEARCH(","&amp;D83&amp;",",","&amp;R82&amp;",")),R82,R82&amp;IF(R82="","",",")&amp;D83),R82)</f>
        <v/>
      </c>
      <c r="S83" s="5">
        <f>IF(I83,S82&amp;IF(S82="","","; ")&amp;"Lever la condition « "&amp;C83&amp;" » avant "&amp;SUBSTITUTE(LOWER(IF(P_Criteres!I44="","TIRAGE",P_Criteres!I44)),"etude","étude"),S82)</f>
        <v/>
      </c>
      <c r="T83" s="5">
        <f>IF(AND(J83,NOT(ISNUMBER(SEARCH(","&amp;D83&amp;",",","&amp;R82&amp;",")))),T82&amp;IF(T82="","",", ")&amp;IFERROR(INDEX(Saisie!$C$13:$C$92,MATCH(D83,In_Cles,0)),D83),T82)</f>
        <v/>
      </c>
      <c r="U83" s="48">
        <f>IF(OR($A83="",N(G83)&lt;=0),"",F83+ROW()/1000000)</f>
        <v/>
      </c>
      <c r="V83" s="5">
        <f>IF($A83="","",IF($E83="","(non renseignée)",IF($O83="QUAL",IFERROR(INDEX(P_Baremes!$F$5:$F$400,SUMPRODUCT(MAX((P_Baremes!$A$5:$A$400=$A83)*(P_Baremes!$B$5:$B$400="MODALITE")*(P_Baremes!$C$5:$C$400=$E83)*(ROW(P_Baremes!$A$5:$A$400)-4)))),$E83),$E83)))</f>
        <v/>
      </c>
    </row>
    <row r="84" spans="1:22">
      <c r="A84" s="5">
        <f>IF(P_Criteres!A45="","",P_Criteres!A45)</f>
        <v/>
      </c>
      <c r="B84" s="5">
        <f>IF($A84="","",P_Criteres!B45)</f>
        <v/>
      </c>
      <c r="C84" s="5">
        <f>IF($A84="","",P_Criteres!C45)</f>
        <v/>
      </c>
      <c r="D84" s="5">
        <f>IF($A84="","",P_Criteres!F45)</f>
        <v/>
      </c>
      <c r="E84" s="5">
        <f>IF($A84="","",IFERROR(INDEX(In_Retenue,MATCH($D84,In_Cles,0)),""))</f>
        <v/>
      </c>
      <c r="F84" s="34">
        <f>IF($A84="",0,ROUND(MIN(P_Scale,MAX(0,IF($L84=0,$K84,$M84))),2))</f>
        <v>0.0</v>
      </c>
      <c r="G84" s="34">
        <f>IF($A84="",0,P_Criteres!E45)</f>
        <v>0.0</v>
      </c>
      <c r="H84" s="34">
        <f>ROUND(F84*G84,2)</f>
        <v>0.0</v>
      </c>
      <c r="I84" s="5" t="b">
        <f>IF($A84="",FALSE,AND(P_Criteres!G45="Oui",ISNUMBER(P_Criteres!H45),F84&lt;=N(P_Criteres!H45)))</f>
        <v>0</v>
      </c>
      <c r="J84" s="5" t="b">
        <f>IF($A84="",FALSE,AND(OR(P_Criteres!G45="Oui",P_Criteres!K45="Oui"),$E84=""))</f>
        <v>0</v>
      </c>
      <c r="K84" s="34">
        <f t="array" ref="K84">IF($A84="",0,MIN(IF(P_Baremes!$A$5:$A$400=$A84,P_Baremes!$H$5:$H$400)))</f>
        <v>0.0</v>
      </c>
      <c r="L84" s="34">
        <f>IF($A84="",0,IF($O84="NUM",IF(ISNUMBER($E84),SUMPRODUCT((P_Baremes!$A$5:$A$400=$A84)*(P_Baremes!$B$5:$B$400="PLAGE")*(((P_Baremes!$D$5:$D$400="")+($E84&gt;=P_Baremes!$D$5:$D$400))&gt;0)*(((P_Baremes!$E$5:$E$400="")+($E84&lt;P_Baremes!$E$5:$E$400))&gt;0)),0),SUMPRODUCT((P_Baremes!$A$5:$A$400=$A84)*(P_Baremes!$B$5:$B$400="MODALITE")*(P_Baremes!$C$5:$C$400=$E84))))</f>
        <v>0.0</v>
      </c>
      <c r="M84" s="34">
        <f>IF($A84="",0,IF($L84=0,0,IF($O84="NUM",SUMPRODUCT((P_Baremes!$A$5:$A$400=$A84)*(P_Baremes!$B$5:$B$400="PLAGE")*(((P_Baremes!$D$5:$D$400="")+($E84&gt;=P_Baremes!$D$5:$D$400))&gt;0)*(((P_Baremes!$E$5:$E$400="")+($E84&lt;P_Baremes!$E$5:$E$400))&gt;0)*P_Baremes!$H$5:$H$400),SUMPRODUCT((P_Baremes!$A$5:$A$400=$A84)*(P_Baremes!$B$5:$B$400="MODALITE")*(P_Baremes!$C$5:$C$400=$E84)*P_Baremes!$H$5:$H$400))))</f>
        <v>0.0</v>
      </c>
      <c r="N84" s="5">
        <f>IF($A84="","",P_Criteres!J45)</f>
        <v/>
      </c>
      <c r="O84" s="5">
        <f>IF($A84="","",P_Criteres!D45)</f>
        <v/>
      </c>
      <c r="P84" s="34">
        <f>IF($A84="",0,IFERROR(INDEX(P_DomPoids,MATCH($B84,P_DomCodes,0)),0))</f>
        <v>0.0</v>
      </c>
      <c r="Q84" s="34">
        <f>P84*G84</f>
        <v>0.0</v>
      </c>
      <c r="R84" s="5">
        <f>IF(J84,IF(ISNUMBER(SEARCH(","&amp;D84&amp;",",","&amp;R83&amp;",")),R83,R83&amp;IF(R83="","",",")&amp;D84),R83)</f>
        <v/>
      </c>
      <c r="S84" s="5">
        <f>IF(I84,S83&amp;IF(S83="","","; ")&amp;"Lever la condition « "&amp;C84&amp;" » avant "&amp;SUBSTITUTE(LOWER(IF(P_Criteres!I45="","TIRAGE",P_Criteres!I45)),"etude","étude"),S83)</f>
        <v/>
      </c>
      <c r="T84" s="5">
        <f>IF(AND(J84,NOT(ISNUMBER(SEARCH(","&amp;D84&amp;",",","&amp;R83&amp;",")))),T83&amp;IF(T83="","",", ")&amp;IFERROR(INDEX(Saisie!$C$13:$C$92,MATCH(D84,In_Cles,0)),D84),T83)</f>
        <v/>
      </c>
      <c r="U84" s="48">
        <f>IF(OR($A84="",N(G84)&lt;=0),"",F84+ROW()/1000000)</f>
        <v/>
      </c>
      <c r="V84" s="5">
        <f>IF($A84="","",IF($E84="","(non renseignée)",IF($O84="QUAL",IFERROR(INDEX(P_Baremes!$F$5:$F$400,SUMPRODUCT(MAX((P_Baremes!$A$5:$A$400=$A84)*(P_Baremes!$B$5:$B$400="MODALITE")*(P_Baremes!$C$5:$C$400=$E84)*(ROW(P_Baremes!$A$5:$A$400)-4)))),$E84),$E84)))</f>
        <v/>
      </c>
    </row>
    <row r="85" spans="1:22">
      <c r="A85" s="5">
        <f>IF(P_Criteres!A46="","",P_Criteres!A46)</f>
        <v/>
      </c>
      <c r="B85" s="5">
        <f>IF($A85="","",P_Criteres!B46)</f>
        <v/>
      </c>
      <c r="C85" s="5">
        <f>IF($A85="","",P_Criteres!C46)</f>
        <v/>
      </c>
      <c r="D85" s="5">
        <f>IF($A85="","",P_Criteres!F46)</f>
        <v/>
      </c>
      <c r="E85" s="5">
        <f>IF($A85="","",IFERROR(INDEX(In_Retenue,MATCH($D85,In_Cles,0)),""))</f>
        <v/>
      </c>
      <c r="F85" s="34">
        <f>IF($A85="",0,ROUND(MIN(P_Scale,MAX(0,IF($L85=0,$K85,$M85))),2))</f>
        <v>0.0</v>
      </c>
      <c r="G85" s="34">
        <f>IF($A85="",0,P_Criteres!E46)</f>
        <v>0.0</v>
      </c>
      <c r="H85" s="34">
        <f>ROUND(F85*G85,2)</f>
        <v>0.0</v>
      </c>
      <c r="I85" s="5" t="b">
        <f>IF($A85="",FALSE,AND(P_Criteres!G46="Oui",ISNUMBER(P_Criteres!H46),F85&lt;=N(P_Criteres!H46)))</f>
        <v>0</v>
      </c>
      <c r="J85" s="5" t="b">
        <f>IF($A85="",FALSE,AND(OR(P_Criteres!G46="Oui",P_Criteres!K46="Oui"),$E85=""))</f>
        <v>0</v>
      </c>
      <c r="K85" s="34">
        <f t="array" ref="K85">IF($A85="",0,MIN(IF(P_Baremes!$A$5:$A$400=$A85,P_Baremes!$H$5:$H$400)))</f>
        <v>0.0</v>
      </c>
      <c r="L85" s="34">
        <f>IF($A85="",0,IF($O85="NUM",IF(ISNUMBER($E85),SUMPRODUCT((P_Baremes!$A$5:$A$400=$A85)*(P_Baremes!$B$5:$B$400="PLAGE")*(((P_Baremes!$D$5:$D$400="")+($E85&gt;=P_Baremes!$D$5:$D$400))&gt;0)*(((P_Baremes!$E$5:$E$400="")+($E85&lt;P_Baremes!$E$5:$E$400))&gt;0)),0),SUMPRODUCT((P_Baremes!$A$5:$A$400=$A85)*(P_Baremes!$B$5:$B$400="MODALITE")*(P_Baremes!$C$5:$C$400=$E85))))</f>
        <v>0.0</v>
      </c>
      <c r="M85" s="34">
        <f>IF($A85="",0,IF($L85=0,0,IF($O85="NUM",SUMPRODUCT((P_Baremes!$A$5:$A$400=$A85)*(P_Baremes!$B$5:$B$400="PLAGE")*(((P_Baremes!$D$5:$D$400="")+($E85&gt;=P_Baremes!$D$5:$D$400))&gt;0)*(((P_Baremes!$E$5:$E$400="")+($E85&lt;P_Baremes!$E$5:$E$400))&gt;0)*P_Baremes!$H$5:$H$400),SUMPRODUCT((P_Baremes!$A$5:$A$400=$A85)*(P_Baremes!$B$5:$B$400="MODALITE")*(P_Baremes!$C$5:$C$400=$E85)*P_Baremes!$H$5:$H$400))))</f>
        <v>0.0</v>
      </c>
      <c r="N85" s="5">
        <f>IF($A85="","",P_Criteres!J46)</f>
        <v/>
      </c>
      <c r="O85" s="5">
        <f>IF($A85="","",P_Criteres!D46)</f>
        <v/>
      </c>
      <c r="P85" s="34">
        <f>IF($A85="",0,IFERROR(INDEX(P_DomPoids,MATCH($B85,P_DomCodes,0)),0))</f>
        <v>0.0</v>
      </c>
      <c r="Q85" s="34">
        <f>P85*G85</f>
        <v>0.0</v>
      </c>
      <c r="R85" s="5">
        <f>IF(J85,IF(ISNUMBER(SEARCH(","&amp;D85&amp;",",","&amp;R84&amp;",")),R84,R84&amp;IF(R84="","",",")&amp;D85),R84)</f>
        <v/>
      </c>
      <c r="S85" s="5">
        <f>IF(I85,S84&amp;IF(S84="","","; ")&amp;"Lever la condition « "&amp;C85&amp;" » avant "&amp;SUBSTITUTE(LOWER(IF(P_Criteres!I46="","TIRAGE",P_Criteres!I46)),"etude","étude"),S84)</f>
        <v/>
      </c>
      <c r="T85" s="5">
        <f>IF(AND(J85,NOT(ISNUMBER(SEARCH(","&amp;D85&amp;",",","&amp;R84&amp;",")))),T84&amp;IF(T84="","",", ")&amp;IFERROR(INDEX(Saisie!$C$13:$C$92,MATCH(D85,In_Cles,0)),D85),T84)</f>
        <v/>
      </c>
      <c r="U85" s="48">
        <f>IF(OR($A85="",N(G85)&lt;=0),"",F85+ROW()/1000000)</f>
        <v/>
      </c>
      <c r="V85" s="5">
        <f>IF($A85="","",IF($E85="","(non renseignée)",IF($O85="QUAL",IFERROR(INDEX(P_Baremes!$F$5:$F$400,SUMPRODUCT(MAX((P_Baremes!$A$5:$A$400=$A85)*(P_Baremes!$B$5:$B$400="MODALITE")*(P_Baremes!$C$5:$C$400=$E85)*(ROW(P_Baremes!$A$5:$A$400)-4)))),$E85),$E85)))</f>
        <v/>
      </c>
    </row>
    <row r="86" spans="1:22">
      <c r="A86" s="5">
        <f>IF(P_Criteres!A47="","",P_Criteres!A47)</f>
        <v/>
      </c>
      <c r="B86" s="5">
        <f>IF($A86="","",P_Criteres!B47)</f>
        <v/>
      </c>
      <c r="C86" s="5">
        <f>IF($A86="","",P_Criteres!C47)</f>
        <v/>
      </c>
      <c r="D86" s="5">
        <f>IF($A86="","",P_Criteres!F47)</f>
        <v/>
      </c>
      <c r="E86" s="5">
        <f>IF($A86="","",IFERROR(INDEX(In_Retenue,MATCH($D86,In_Cles,0)),""))</f>
        <v/>
      </c>
      <c r="F86" s="34">
        <f>IF($A86="",0,ROUND(MIN(P_Scale,MAX(0,IF($L86=0,$K86,$M86))),2))</f>
        <v>0.0</v>
      </c>
      <c r="G86" s="34">
        <f>IF($A86="",0,P_Criteres!E47)</f>
        <v>0.0</v>
      </c>
      <c r="H86" s="34">
        <f>ROUND(F86*G86,2)</f>
        <v>0.0</v>
      </c>
      <c r="I86" s="5" t="b">
        <f>IF($A86="",FALSE,AND(P_Criteres!G47="Oui",ISNUMBER(P_Criteres!H47),F86&lt;=N(P_Criteres!H47)))</f>
        <v>0</v>
      </c>
      <c r="J86" s="5" t="b">
        <f>IF($A86="",FALSE,AND(OR(P_Criteres!G47="Oui",P_Criteres!K47="Oui"),$E86=""))</f>
        <v>0</v>
      </c>
      <c r="K86" s="34">
        <f t="array" ref="K86">IF($A86="",0,MIN(IF(P_Baremes!$A$5:$A$400=$A86,P_Baremes!$H$5:$H$400)))</f>
        <v>0.0</v>
      </c>
      <c r="L86" s="34">
        <f>IF($A86="",0,IF($O86="NUM",IF(ISNUMBER($E86),SUMPRODUCT((P_Baremes!$A$5:$A$400=$A86)*(P_Baremes!$B$5:$B$400="PLAGE")*(((P_Baremes!$D$5:$D$400="")+($E86&gt;=P_Baremes!$D$5:$D$400))&gt;0)*(((P_Baremes!$E$5:$E$400="")+($E86&lt;P_Baremes!$E$5:$E$400))&gt;0)),0),SUMPRODUCT((P_Baremes!$A$5:$A$400=$A86)*(P_Baremes!$B$5:$B$400="MODALITE")*(P_Baremes!$C$5:$C$400=$E86))))</f>
        <v>0.0</v>
      </c>
      <c r="M86" s="34">
        <f>IF($A86="",0,IF($L86=0,0,IF($O86="NUM",SUMPRODUCT((P_Baremes!$A$5:$A$400=$A86)*(P_Baremes!$B$5:$B$400="PLAGE")*(((P_Baremes!$D$5:$D$400="")+($E86&gt;=P_Baremes!$D$5:$D$400))&gt;0)*(((P_Baremes!$E$5:$E$400="")+($E86&lt;P_Baremes!$E$5:$E$400))&gt;0)*P_Baremes!$H$5:$H$400),SUMPRODUCT((P_Baremes!$A$5:$A$400=$A86)*(P_Baremes!$B$5:$B$400="MODALITE")*(P_Baremes!$C$5:$C$400=$E86)*P_Baremes!$H$5:$H$400))))</f>
        <v>0.0</v>
      </c>
      <c r="N86" s="5">
        <f>IF($A86="","",P_Criteres!J47)</f>
        <v/>
      </c>
      <c r="O86" s="5">
        <f>IF($A86="","",P_Criteres!D47)</f>
        <v/>
      </c>
      <c r="P86" s="34">
        <f>IF($A86="",0,IFERROR(INDEX(P_DomPoids,MATCH($B86,P_DomCodes,0)),0))</f>
        <v>0.0</v>
      </c>
      <c r="Q86" s="34">
        <f>P86*G86</f>
        <v>0.0</v>
      </c>
      <c r="R86" s="5">
        <f>IF(J86,IF(ISNUMBER(SEARCH(","&amp;D86&amp;",",","&amp;R85&amp;",")),R85,R85&amp;IF(R85="","",",")&amp;D86),R85)</f>
        <v/>
      </c>
      <c r="S86" s="5">
        <f>IF(I86,S85&amp;IF(S85="","","; ")&amp;"Lever la condition « "&amp;C86&amp;" » avant "&amp;SUBSTITUTE(LOWER(IF(P_Criteres!I47="","TIRAGE",P_Criteres!I47)),"etude","étude"),S85)</f>
        <v/>
      </c>
      <c r="T86" s="5">
        <f>IF(AND(J86,NOT(ISNUMBER(SEARCH(","&amp;D86&amp;",",","&amp;R85&amp;",")))),T85&amp;IF(T85="","",", ")&amp;IFERROR(INDEX(Saisie!$C$13:$C$92,MATCH(D86,In_Cles,0)),D86),T85)</f>
        <v/>
      </c>
      <c r="U86" s="48">
        <f>IF(OR($A86="",N(G86)&lt;=0),"",F86+ROW()/1000000)</f>
        <v/>
      </c>
      <c r="V86" s="5">
        <f>IF($A86="","",IF($E86="","(non renseignée)",IF($O86="QUAL",IFERROR(INDEX(P_Baremes!$F$5:$F$400,SUMPRODUCT(MAX((P_Baremes!$A$5:$A$400=$A86)*(P_Baremes!$B$5:$B$400="MODALITE")*(P_Baremes!$C$5:$C$400=$E86)*(ROW(P_Baremes!$A$5:$A$400)-4)))),$E86),$E86)))</f>
        <v/>
      </c>
    </row>
    <row r="87" spans="1:22">
      <c r="A87" s="5">
        <f>IF(P_Criteres!A48="","",P_Criteres!A48)</f>
        <v/>
      </c>
      <c r="B87" s="5">
        <f>IF($A87="","",P_Criteres!B48)</f>
        <v/>
      </c>
      <c r="C87" s="5">
        <f>IF($A87="","",P_Criteres!C48)</f>
        <v/>
      </c>
      <c r="D87" s="5">
        <f>IF($A87="","",P_Criteres!F48)</f>
        <v/>
      </c>
      <c r="E87" s="5">
        <f>IF($A87="","",IFERROR(INDEX(In_Retenue,MATCH($D87,In_Cles,0)),""))</f>
        <v/>
      </c>
      <c r="F87" s="34">
        <f>IF($A87="",0,ROUND(MIN(P_Scale,MAX(0,IF($L87=0,$K87,$M87))),2))</f>
        <v>0.0</v>
      </c>
      <c r="G87" s="34">
        <f>IF($A87="",0,P_Criteres!E48)</f>
        <v>0.0</v>
      </c>
      <c r="H87" s="34">
        <f>ROUND(F87*G87,2)</f>
        <v>0.0</v>
      </c>
      <c r="I87" s="5" t="b">
        <f>IF($A87="",FALSE,AND(P_Criteres!G48="Oui",ISNUMBER(P_Criteres!H48),F87&lt;=N(P_Criteres!H48)))</f>
        <v>0</v>
      </c>
      <c r="J87" s="5" t="b">
        <f>IF($A87="",FALSE,AND(OR(P_Criteres!G48="Oui",P_Criteres!K48="Oui"),$E87=""))</f>
        <v>0</v>
      </c>
      <c r="K87" s="34">
        <f t="array" ref="K87">IF($A87="",0,MIN(IF(P_Baremes!$A$5:$A$400=$A87,P_Baremes!$H$5:$H$400)))</f>
        <v>0.0</v>
      </c>
      <c r="L87" s="34">
        <f>IF($A87="",0,IF($O87="NUM",IF(ISNUMBER($E87),SUMPRODUCT((P_Baremes!$A$5:$A$400=$A87)*(P_Baremes!$B$5:$B$400="PLAGE")*(((P_Baremes!$D$5:$D$400="")+($E87&gt;=P_Baremes!$D$5:$D$400))&gt;0)*(((P_Baremes!$E$5:$E$400="")+($E87&lt;P_Baremes!$E$5:$E$400))&gt;0)),0),SUMPRODUCT((P_Baremes!$A$5:$A$400=$A87)*(P_Baremes!$B$5:$B$400="MODALITE")*(P_Baremes!$C$5:$C$400=$E87))))</f>
        <v>0.0</v>
      </c>
      <c r="M87" s="34">
        <f>IF($A87="",0,IF($L87=0,0,IF($O87="NUM",SUMPRODUCT((P_Baremes!$A$5:$A$400=$A87)*(P_Baremes!$B$5:$B$400="PLAGE")*(((P_Baremes!$D$5:$D$400="")+($E87&gt;=P_Baremes!$D$5:$D$400))&gt;0)*(((P_Baremes!$E$5:$E$400="")+($E87&lt;P_Baremes!$E$5:$E$400))&gt;0)*P_Baremes!$H$5:$H$400),SUMPRODUCT((P_Baremes!$A$5:$A$400=$A87)*(P_Baremes!$B$5:$B$400="MODALITE")*(P_Baremes!$C$5:$C$400=$E87)*P_Baremes!$H$5:$H$400))))</f>
        <v>0.0</v>
      </c>
      <c r="N87" s="5">
        <f>IF($A87="","",P_Criteres!J48)</f>
        <v/>
      </c>
      <c r="O87" s="5">
        <f>IF($A87="","",P_Criteres!D48)</f>
        <v/>
      </c>
      <c r="P87" s="34">
        <f>IF($A87="",0,IFERROR(INDEX(P_DomPoids,MATCH($B87,P_DomCodes,0)),0))</f>
        <v>0.0</v>
      </c>
      <c r="Q87" s="34">
        <f>P87*G87</f>
        <v>0.0</v>
      </c>
      <c r="R87" s="5">
        <f>IF(J87,IF(ISNUMBER(SEARCH(","&amp;D87&amp;",",","&amp;R86&amp;",")),R86,R86&amp;IF(R86="","",",")&amp;D87),R86)</f>
        <v/>
      </c>
      <c r="S87" s="5">
        <f>IF(I87,S86&amp;IF(S86="","","; ")&amp;"Lever la condition « "&amp;C87&amp;" » avant "&amp;SUBSTITUTE(LOWER(IF(P_Criteres!I48="","TIRAGE",P_Criteres!I48)),"etude","étude"),S86)</f>
        <v/>
      </c>
      <c r="T87" s="5">
        <f>IF(AND(J87,NOT(ISNUMBER(SEARCH(","&amp;D87&amp;",",","&amp;R86&amp;",")))),T86&amp;IF(T86="","",", ")&amp;IFERROR(INDEX(Saisie!$C$13:$C$92,MATCH(D87,In_Cles,0)),D87),T86)</f>
        <v/>
      </c>
      <c r="U87" s="48">
        <f>IF(OR($A87="",N(G87)&lt;=0),"",F87+ROW()/1000000)</f>
        <v/>
      </c>
      <c r="V87" s="5">
        <f>IF($A87="","",IF($E87="","(non renseignée)",IF($O87="QUAL",IFERROR(INDEX(P_Baremes!$F$5:$F$400,SUMPRODUCT(MAX((P_Baremes!$A$5:$A$400=$A87)*(P_Baremes!$B$5:$B$400="MODALITE")*(P_Baremes!$C$5:$C$400=$E87)*(ROW(P_Baremes!$A$5:$A$400)-4)))),$E87),$E87)))</f>
        <v/>
      </c>
    </row>
    <row r="88" spans="1:22">
      <c r="A88" s="5">
        <f>IF(P_Criteres!A49="","",P_Criteres!A49)</f>
        <v/>
      </c>
      <c r="B88" s="5">
        <f>IF($A88="","",P_Criteres!B49)</f>
        <v/>
      </c>
      <c r="C88" s="5">
        <f>IF($A88="","",P_Criteres!C49)</f>
        <v/>
      </c>
      <c r="D88" s="5">
        <f>IF($A88="","",P_Criteres!F49)</f>
        <v/>
      </c>
      <c r="E88" s="5">
        <f>IF($A88="","",IFERROR(INDEX(In_Retenue,MATCH($D88,In_Cles,0)),""))</f>
        <v/>
      </c>
      <c r="F88" s="34">
        <f>IF($A88="",0,ROUND(MIN(P_Scale,MAX(0,IF($L88=0,$K88,$M88))),2))</f>
        <v>0.0</v>
      </c>
      <c r="G88" s="34">
        <f>IF($A88="",0,P_Criteres!E49)</f>
        <v>0.0</v>
      </c>
      <c r="H88" s="34">
        <f>ROUND(F88*G88,2)</f>
        <v>0.0</v>
      </c>
      <c r="I88" s="5" t="b">
        <f>IF($A88="",FALSE,AND(P_Criteres!G49="Oui",ISNUMBER(P_Criteres!H49),F88&lt;=N(P_Criteres!H49)))</f>
        <v>0</v>
      </c>
      <c r="J88" s="5" t="b">
        <f>IF($A88="",FALSE,AND(OR(P_Criteres!G49="Oui",P_Criteres!K49="Oui"),$E88=""))</f>
        <v>0</v>
      </c>
      <c r="K88" s="34">
        <f t="array" ref="K88">IF($A88="",0,MIN(IF(P_Baremes!$A$5:$A$400=$A88,P_Baremes!$H$5:$H$400)))</f>
        <v>0.0</v>
      </c>
      <c r="L88" s="34">
        <f>IF($A88="",0,IF($O88="NUM",IF(ISNUMBER($E88),SUMPRODUCT((P_Baremes!$A$5:$A$400=$A88)*(P_Baremes!$B$5:$B$400="PLAGE")*(((P_Baremes!$D$5:$D$400="")+($E88&gt;=P_Baremes!$D$5:$D$400))&gt;0)*(((P_Baremes!$E$5:$E$400="")+($E88&lt;P_Baremes!$E$5:$E$400))&gt;0)),0),SUMPRODUCT((P_Baremes!$A$5:$A$400=$A88)*(P_Baremes!$B$5:$B$400="MODALITE")*(P_Baremes!$C$5:$C$400=$E88))))</f>
        <v>0.0</v>
      </c>
      <c r="M88" s="34">
        <f>IF($A88="",0,IF($L88=0,0,IF($O88="NUM",SUMPRODUCT((P_Baremes!$A$5:$A$400=$A88)*(P_Baremes!$B$5:$B$400="PLAGE")*(((P_Baremes!$D$5:$D$400="")+($E88&gt;=P_Baremes!$D$5:$D$400))&gt;0)*(((P_Baremes!$E$5:$E$400="")+($E88&lt;P_Baremes!$E$5:$E$400))&gt;0)*P_Baremes!$H$5:$H$400),SUMPRODUCT((P_Baremes!$A$5:$A$400=$A88)*(P_Baremes!$B$5:$B$400="MODALITE")*(P_Baremes!$C$5:$C$400=$E88)*P_Baremes!$H$5:$H$400))))</f>
        <v>0.0</v>
      </c>
      <c r="N88" s="5">
        <f>IF($A88="","",P_Criteres!J49)</f>
        <v/>
      </c>
      <c r="O88" s="5">
        <f>IF($A88="","",P_Criteres!D49)</f>
        <v/>
      </c>
      <c r="P88" s="34">
        <f>IF($A88="",0,IFERROR(INDEX(P_DomPoids,MATCH($B88,P_DomCodes,0)),0))</f>
        <v>0.0</v>
      </c>
      <c r="Q88" s="34">
        <f>P88*G88</f>
        <v>0.0</v>
      </c>
      <c r="R88" s="5">
        <f>IF(J88,IF(ISNUMBER(SEARCH(","&amp;D88&amp;",",","&amp;R87&amp;",")),R87,R87&amp;IF(R87="","",",")&amp;D88),R87)</f>
        <v/>
      </c>
      <c r="S88" s="5">
        <f>IF(I88,S87&amp;IF(S87="","","; ")&amp;"Lever la condition « "&amp;C88&amp;" » avant "&amp;SUBSTITUTE(LOWER(IF(P_Criteres!I49="","TIRAGE",P_Criteres!I49)),"etude","étude"),S87)</f>
        <v/>
      </c>
      <c r="T88" s="5">
        <f>IF(AND(J88,NOT(ISNUMBER(SEARCH(","&amp;D88&amp;",",","&amp;R87&amp;",")))),T87&amp;IF(T87="","",", ")&amp;IFERROR(INDEX(Saisie!$C$13:$C$92,MATCH(D88,In_Cles,0)),D88),T87)</f>
        <v/>
      </c>
      <c r="U88" s="48">
        <f>IF(OR($A88="",N(G88)&lt;=0),"",F88+ROW()/1000000)</f>
        <v/>
      </c>
      <c r="V88" s="5">
        <f>IF($A88="","",IF($E88="","(non renseignée)",IF($O88="QUAL",IFERROR(INDEX(P_Baremes!$F$5:$F$400,SUMPRODUCT(MAX((P_Baremes!$A$5:$A$400=$A88)*(P_Baremes!$B$5:$B$400="MODALITE")*(P_Baremes!$C$5:$C$400=$E88)*(ROW(P_Baremes!$A$5:$A$400)-4)))),$E88),$E88)))</f>
        <v/>
      </c>
    </row>
    <row r="89" spans="1:22">
      <c r="A89" s="5">
        <f>IF(P_Criteres!A50="","",P_Criteres!A50)</f>
        <v/>
      </c>
      <c r="B89" s="5">
        <f>IF($A89="","",P_Criteres!B50)</f>
        <v/>
      </c>
      <c r="C89" s="5">
        <f>IF($A89="","",P_Criteres!C50)</f>
        <v/>
      </c>
      <c r="D89" s="5">
        <f>IF($A89="","",P_Criteres!F50)</f>
        <v/>
      </c>
      <c r="E89" s="5">
        <f>IF($A89="","",IFERROR(INDEX(In_Retenue,MATCH($D89,In_Cles,0)),""))</f>
        <v/>
      </c>
      <c r="F89" s="34">
        <f>IF($A89="",0,ROUND(MIN(P_Scale,MAX(0,IF($L89=0,$K89,$M89))),2))</f>
        <v>0.0</v>
      </c>
      <c r="G89" s="34">
        <f>IF($A89="",0,P_Criteres!E50)</f>
        <v>0.0</v>
      </c>
      <c r="H89" s="34">
        <f>ROUND(F89*G89,2)</f>
        <v>0.0</v>
      </c>
      <c r="I89" s="5" t="b">
        <f>IF($A89="",FALSE,AND(P_Criteres!G50="Oui",ISNUMBER(P_Criteres!H50),F89&lt;=N(P_Criteres!H50)))</f>
        <v>0</v>
      </c>
      <c r="J89" s="5" t="b">
        <f>IF($A89="",FALSE,AND(OR(P_Criteres!G50="Oui",P_Criteres!K50="Oui"),$E89=""))</f>
        <v>0</v>
      </c>
      <c r="K89" s="34">
        <f t="array" ref="K89">IF($A89="",0,MIN(IF(P_Baremes!$A$5:$A$400=$A89,P_Baremes!$H$5:$H$400)))</f>
        <v>0.0</v>
      </c>
      <c r="L89" s="34">
        <f>IF($A89="",0,IF($O89="NUM",IF(ISNUMBER($E89),SUMPRODUCT((P_Baremes!$A$5:$A$400=$A89)*(P_Baremes!$B$5:$B$400="PLAGE")*(((P_Baremes!$D$5:$D$400="")+($E89&gt;=P_Baremes!$D$5:$D$400))&gt;0)*(((P_Baremes!$E$5:$E$400="")+($E89&lt;P_Baremes!$E$5:$E$400))&gt;0)),0),SUMPRODUCT((P_Baremes!$A$5:$A$400=$A89)*(P_Baremes!$B$5:$B$400="MODALITE")*(P_Baremes!$C$5:$C$400=$E89))))</f>
        <v>0.0</v>
      </c>
      <c r="M89" s="34">
        <f>IF($A89="",0,IF($L89=0,0,IF($O89="NUM",SUMPRODUCT((P_Baremes!$A$5:$A$400=$A89)*(P_Baremes!$B$5:$B$400="PLAGE")*(((P_Baremes!$D$5:$D$400="")+($E89&gt;=P_Baremes!$D$5:$D$400))&gt;0)*(((P_Baremes!$E$5:$E$400="")+($E89&lt;P_Baremes!$E$5:$E$400))&gt;0)*P_Baremes!$H$5:$H$400),SUMPRODUCT((P_Baremes!$A$5:$A$400=$A89)*(P_Baremes!$B$5:$B$400="MODALITE")*(P_Baremes!$C$5:$C$400=$E89)*P_Baremes!$H$5:$H$400))))</f>
        <v>0.0</v>
      </c>
      <c r="N89" s="5">
        <f>IF($A89="","",P_Criteres!J50)</f>
        <v/>
      </c>
      <c r="O89" s="5">
        <f>IF($A89="","",P_Criteres!D50)</f>
        <v/>
      </c>
      <c r="P89" s="34">
        <f>IF($A89="",0,IFERROR(INDEX(P_DomPoids,MATCH($B89,P_DomCodes,0)),0))</f>
        <v>0.0</v>
      </c>
      <c r="Q89" s="34">
        <f>P89*G89</f>
        <v>0.0</v>
      </c>
      <c r="R89" s="5">
        <f>IF(J89,IF(ISNUMBER(SEARCH(","&amp;D89&amp;",",","&amp;R88&amp;",")),R88,R88&amp;IF(R88="","",",")&amp;D89),R88)</f>
        <v/>
      </c>
      <c r="S89" s="5">
        <f>IF(I89,S88&amp;IF(S88="","","; ")&amp;"Lever la condition « "&amp;C89&amp;" » avant "&amp;SUBSTITUTE(LOWER(IF(P_Criteres!I50="","TIRAGE",P_Criteres!I50)),"etude","étude"),S88)</f>
        <v/>
      </c>
      <c r="T89" s="5">
        <f>IF(AND(J89,NOT(ISNUMBER(SEARCH(","&amp;D89&amp;",",","&amp;R88&amp;",")))),T88&amp;IF(T88="","",", ")&amp;IFERROR(INDEX(Saisie!$C$13:$C$92,MATCH(D89,In_Cles,0)),D89),T88)</f>
        <v/>
      </c>
      <c r="U89" s="48">
        <f>IF(OR($A89="",N(G89)&lt;=0),"",F89+ROW()/1000000)</f>
        <v/>
      </c>
      <c r="V89" s="5">
        <f>IF($A89="","",IF($E89="","(non renseignée)",IF($O89="QUAL",IFERROR(INDEX(P_Baremes!$F$5:$F$400,SUMPRODUCT(MAX((P_Baremes!$A$5:$A$400=$A89)*(P_Baremes!$B$5:$B$400="MODALITE")*(P_Baremes!$C$5:$C$400=$E89)*(ROW(P_Baremes!$A$5:$A$400)-4)))),$E89),$E89)))</f>
        <v/>
      </c>
    </row>
    <row r="90" spans="1:22">
      <c r="A90" s="5">
        <f>IF(P_Criteres!A51="","",P_Criteres!A51)</f>
        <v/>
      </c>
      <c r="B90" s="5">
        <f>IF($A90="","",P_Criteres!B51)</f>
        <v/>
      </c>
      <c r="C90" s="5">
        <f>IF($A90="","",P_Criteres!C51)</f>
        <v/>
      </c>
      <c r="D90" s="5">
        <f>IF($A90="","",P_Criteres!F51)</f>
        <v/>
      </c>
      <c r="E90" s="5">
        <f>IF($A90="","",IFERROR(INDEX(In_Retenue,MATCH($D90,In_Cles,0)),""))</f>
        <v/>
      </c>
      <c r="F90" s="34">
        <f>IF($A90="",0,ROUND(MIN(P_Scale,MAX(0,IF($L90=0,$K90,$M90))),2))</f>
        <v>0.0</v>
      </c>
      <c r="G90" s="34">
        <f>IF($A90="",0,P_Criteres!E51)</f>
        <v>0.0</v>
      </c>
      <c r="H90" s="34">
        <f>ROUND(F90*G90,2)</f>
        <v>0.0</v>
      </c>
      <c r="I90" s="5" t="b">
        <f>IF($A90="",FALSE,AND(P_Criteres!G51="Oui",ISNUMBER(P_Criteres!H51),F90&lt;=N(P_Criteres!H51)))</f>
        <v>0</v>
      </c>
      <c r="J90" s="5" t="b">
        <f>IF($A90="",FALSE,AND(OR(P_Criteres!G51="Oui",P_Criteres!K51="Oui"),$E90=""))</f>
        <v>0</v>
      </c>
      <c r="K90" s="34">
        <f t="array" ref="K90">IF($A90="",0,MIN(IF(P_Baremes!$A$5:$A$400=$A90,P_Baremes!$H$5:$H$400)))</f>
        <v>0.0</v>
      </c>
      <c r="L90" s="34">
        <f>IF($A90="",0,IF($O90="NUM",IF(ISNUMBER($E90),SUMPRODUCT((P_Baremes!$A$5:$A$400=$A90)*(P_Baremes!$B$5:$B$400="PLAGE")*(((P_Baremes!$D$5:$D$400="")+($E90&gt;=P_Baremes!$D$5:$D$400))&gt;0)*(((P_Baremes!$E$5:$E$400="")+($E90&lt;P_Baremes!$E$5:$E$400))&gt;0)),0),SUMPRODUCT((P_Baremes!$A$5:$A$400=$A90)*(P_Baremes!$B$5:$B$400="MODALITE")*(P_Baremes!$C$5:$C$400=$E90))))</f>
        <v>0.0</v>
      </c>
      <c r="M90" s="34">
        <f>IF($A90="",0,IF($L90=0,0,IF($O90="NUM",SUMPRODUCT((P_Baremes!$A$5:$A$400=$A90)*(P_Baremes!$B$5:$B$400="PLAGE")*(((P_Baremes!$D$5:$D$400="")+($E90&gt;=P_Baremes!$D$5:$D$400))&gt;0)*(((P_Baremes!$E$5:$E$400="")+($E90&lt;P_Baremes!$E$5:$E$400))&gt;0)*P_Baremes!$H$5:$H$400),SUMPRODUCT((P_Baremes!$A$5:$A$400=$A90)*(P_Baremes!$B$5:$B$400="MODALITE")*(P_Baremes!$C$5:$C$400=$E90)*P_Baremes!$H$5:$H$400))))</f>
        <v>0.0</v>
      </c>
      <c r="N90" s="5">
        <f>IF($A90="","",P_Criteres!J51)</f>
        <v/>
      </c>
      <c r="O90" s="5">
        <f>IF($A90="","",P_Criteres!D51)</f>
        <v/>
      </c>
      <c r="P90" s="34">
        <f>IF($A90="",0,IFERROR(INDEX(P_DomPoids,MATCH($B90,P_DomCodes,0)),0))</f>
        <v>0.0</v>
      </c>
      <c r="Q90" s="34">
        <f>P90*G90</f>
        <v>0.0</v>
      </c>
      <c r="R90" s="5">
        <f>IF(J90,IF(ISNUMBER(SEARCH(","&amp;D90&amp;",",","&amp;R89&amp;",")),R89,R89&amp;IF(R89="","",",")&amp;D90),R89)</f>
        <v/>
      </c>
      <c r="S90" s="5">
        <f>IF(I90,S89&amp;IF(S89="","","; ")&amp;"Lever la condition « "&amp;C90&amp;" » avant "&amp;SUBSTITUTE(LOWER(IF(P_Criteres!I51="","TIRAGE",P_Criteres!I51)),"etude","étude"),S89)</f>
        <v/>
      </c>
      <c r="T90" s="5">
        <f>IF(AND(J90,NOT(ISNUMBER(SEARCH(","&amp;D90&amp;",",","&amp;R89&amp;",")))),T89&amp;IF(T89="","",", ")&amp;IFERROR(INDEX(Saisie!$C$13:$C$92,MATCH(D90,In_Cles,0)),D90),T89)</f>
        <v/>
      </c>
      <c r="U90" s="48">
        <f>IF(OR($A90="",N(G90)&lt;=0),"",F90+ROW()/1000000)</f>
        <v/>
      </c>
      <c r="V90" s="5">
        <f>IF($A90="","",IF($E90="","(non renseignée)",IF($O90="QUAL",IFERROR(INDEX(P_Baremes!$F$5:$F$400,SUMPRODUCT(MAX((P_Baremes!$A$5:$A$400=$A90)*(P_Baremes!$B$5:$B$400="MODALITE")*(P_Baremes!$C$5:$C$400=$E90)*(ROW(P_Baremes!$A$5:$A$400)-4)))),$E90),$E90)))</f>
        <v/>
      </c>
    </row>
    <row r="91" spans="1:22">
      <c r="A91" s="5">
        <f>IF(P_Criteres!A52="","",P_Criteres!A52)</f>
        <v/>
      </c>
      <c r="B91" s="5">
        <f>IF($A91="","",P_Criteres!B52)</f>
        <v/>
      </c>
      <c r="C91" s="5">
        <f>IF($A91="","",P_Criteres!C52)</f>
        <v/>
      </c>
      <c r="D91" s="5">
        <f>IF($A91="","",P_Criteres!F52)</f>
        <v/>
      </c>
      <c r="E91" s="5">
        <f>IF($A91="","",IFERROR(INDEX(In_Retenue,MATCH($D91,In_Cles,0)),""))</f>
        <v/>
      </c>
      <c r="F91" s="34">
        <f>IF($A91="",0,ROUND(MIN(P_Scale,MAX(0,IF($L91=0,$K91,$M91))),2))</f>
        <v>0.0</v>
      </c>
      <c r="G91" s="34">
        <f>IF($A91="",0,P_Criteres!E52)</f>
        <v>0.0</v>
      </c>
      <c r="H91" s="34">
        <f>ROUND(F91*G91,2)</f>
        <v>0.0</v>
      </c>
      <c r="I91" s="5" t="b">
        <f>IF($A91="",FALSE,AND(P_Criteres!G52="Oui",ISNUMBER(P_Criteres!H52),F91&lt;=N(P_Criteres!H52)))</f>
        <v>0</v>
      </c>
      <c r="J91" s="5" t="b">
        <f>IF($A91="",FALSE,AND(OR(P_Criteres!G52="Oui",P_Criteres!K52="Oui"),$E91=""))</f>
        <v>0</v>
      </c>
      <c r="K91" s="34">
        <f t="array" ref="K91">IF($A91="",0,MIN(IF(P_Baremes!$A$5:$A$400=$A91,P_Baremes!$H$5:$H$400)))</f>
        <v>0.0</v>
      </c>
      <c r="L91" s="34">
        <f>IF($A91="",0,IF($O91="NUM",IF(ISNUMBER($E91),SUMPRODUCT((P_Baremes!$A$5:$A$400=$A91)*(P_Baremes!$B$5:$B$400="PLAGE")*(((P_Baremes!$D$5:$D$400="")+($E91&gt;=P_Baremes!$D$5:$D$400))&gt;0)*(((P_Baremes!$E$5:$E$400="")+($E91&lt;P_Baremes!$E$5:$E$400))&gt;0)),0),SUMPRODUCT((P_Baremes!$A$5:$A$400=$A91)*(P_Baremes!$B$5:$B$400="MODALITE")*(P_Baremes!$C$5:$C$400=$E91))))</f>
        <v>0.0</v>
      </c>
      <c r="M91" s="34">
        <f>IF($A91="",0,IF($L91=0,0,IF($O91="NUM",SUMPRODUCT((P_Baremes!$A$5:$A$400=$A91)*(P_Baremes!$B$5:$B$400="PLAGE")*(((P_Baremes!$D$5:$D$400="")+($E91&gt;=P_Baremes!$D$5:$D$400))&gt;0)*(((P_Baremes!$E$5:$E$400="")+($E91&lt;P_Baremes!$E$5:$E$400))&gt;0)*P_Baremes!$H$5:$H$400),SUMPRODUCT((P_Baremes!$A$5:$A$400=$A91)*(P_Baremes!$B$5:$B$400="MODALITE")*(P_Baremes!$C$5:$C$400=$E91)*P_Baremes!$H$5:$H$400))))</f>
        <v>0.0</v>
      </c>
      <c r="N91" s="5">
        <f>IF($A91="","",P_Criteres!J52)</f>
        <v/>
      </c>
      <c r="O91" s="5">
        <f>IF($A91="","",P_Criteres!D52)</f>
        <v/>
      </c>
      <c r="P91" s="34">
        <f>IF($A91="",0,IFERROR(INDEX(P_DomPoids,MATCH($B91,P_DomCodes,0)),0))</f>
        <v>0.0</v>
      </c>
      <c r="Q91" s="34">
        <f>P91*G91</f>
        <v>0.0</v>
      </c>
      <c r="R91" s="5">
        <f>IF(J91,IF(ISNUMBER(SEARCH(","&amp;D91&amp;",",","&amp;R90&amp;",")),R90,R90&amp;IF(R90="","",",")&amp;D91),R90)</f>
        <v/>
      </c>
      <c r="S91" s="5">
        <f>IF(I91,S90&amp;IF(S90="","","; ")&amp;"Lever la condition « "&amp;C91&amp;" » avant "&amp;SUBSTITUTE(LOWER(IF(P_Criteres!I52="","TIRAGE",P_Criteres!I52)),"etude","étude"),S90)</f>
        <v/>
      </c>
      <c r="T91" s="5">
        <f>IF(AND(J91,NOT(ISNUMBER(SEARCH(","&amp;D91&amp;",",","&amp;R90&amp;",")))),T90&amp;IF(T90="","",", ")&amp;IFERROR(INDEX(Saisie!$C$13:$C$92,MATCH(D91,In_Cles,0)),D91),T90)</f>
        <v/>
      </c>
      <c r="U91" s="48">
        <f>IF(OR($A91="",N(G91)&lt;=0),"",F91+ROW()/1000000)</f>
        <v/>
      </c>
      <c r="V91" s="5">
        <f>IF($A91="","",IF($E91="","(non renseignée)",IF($O91="QUAL",IFERROR(INDEX(P_Baremes!$F$5:$F$400,SUMPRODUCT(MAX((P_Baremes!$A$5:$A$400=$A91)*(P_Baremes!$B$5:$B$400="MODALITE")*(P_Baremes!$C$5:$C$400=$E91)*(ROW(P_Baremes!$A$5:$A$400)-4)))),$E91),$E91)))</f>
        <v/>
      </c>
    </row>
    <row r="92" spans="1:22">
      <c r="A92" s="5">
        <f>IF(P_Criteres!A53="","",P_Criteres!A53)</f>
        <v/>
      </c>
      <c r="B92" s="5">
        <f>IF($A92="","",P_Criteres!B53)</f>
        <v/>
      </c>
      <c r="C92" s="5">
        <f>IF($A92="","",P_Criteres!C53)</f>
        <v/>
      </c>
      <c r="D92" s="5">
        <f>IF($A92="","",P_Criteres!F53)</f>
        <v/>
      </c>
      <c r="E92" s="5">
        <f>IF($A92="","",IFERROR(INDEX(In_Retenue,MATCH($D92,In_Cles,0)),""))</f>
        <v/>
      </c>
      <c r="F92" s="34">
        <f>IF($A92="",0,ROUND(MIN(P_Scale,MAX(0,IF($L92=0,$K92,$M92))),2))</f>
        <v>0.0</v>
      </c>
      <c r="G92" s="34">
        <f>IF($A92="",0,P_Criteres!E53)</f>
        <v>0.0</v>
      </c>
      <c r="H92" s="34">
        <f>ROUND(F92*G92,2)</f>
        <v>0.0</v>
      </c>
      <c r="I92" s="5" t="b">
        <f>IF($A92="",FALSE,AND(P_Criteres!G53="Oui",ISNUMBER(P_Criteres!H53),F92&lt;=N(P_Criteres!H53)))</f>
        <v>0</v>
      </c>
      <c r="J92" s="5" t="b">
        <f>IF($A92="",FALSE,AND(OR(P_Criteres!G53="Oui",P_Criteres!K53="Oui"),$E92=""))</f>
        <v>0</v>
      </c>
      <c r="K92" s="34">
        <f t="array" ref="K92">IF($A92="",0,MIN(IF(P_Baremes!$A$5:$A$400=$A92,P_Baremes!$H$5:$H$400)))</f>
        <v>0.0</v>
      </c>
      <c r="L92" s="34">
        <f>IF($A92="",0,IF($O92="NUM",IF(ISNUMBER($E92),SUMPRODUCT((P_Baremes!$A$5:$A$400=$A92)*(P_Baremes!$B$5:$B$400="PLAGE")*(((P_Baremes!$D$5:$D$400="")+($E92&gt;=P_Baremes!$D$5:$D$400))&gt;0)*(((P_Baremes!$E$5:$E$400="")+($E92&lt;P_Baremes!$E$5:$E$400))&gt;0)),0),SUMPRODUCT((P_Baremes!$A$5:$A$400=$A92)*(P_Baremes!$B$5:$B$400="MODALITE")*(P_Baremes!$C$5:$C$400=$E92))))</f>
        <v>0.0</v>
      </c>
      <c r="M92" s="34">
        <f>IF($A92="",0,IF($L92=0,0,IF($O92="NUM",SUMPRODUCT((P_Baremes!$A$5:$A$400=$A92)*(P_Baremes!$B$5:$B$400="PLAGE")*(((P_Baremes!$D$5:$D$400="")+($E92&gt;=P_Baremes!$D$5:$D$400))&gt;0)*(((P_Baremes!$E$5:$E$400="")+($E92&lt;P_Baremes!$E$5:$E$400))&gt;0)*P_Baremes!$H$5:$H$400),SUMPRODUCT((P_Baremes!$A$5:$A$400=$A92)*(P_Baremes!$B$5:$B$400="MODALITE")*(P_Baremes!$C$5:$C$400=$E92)*P_Baremes!$H$5:$H$400))))</f>
        <v>0.0</v>
      </c>
      <c r="N92" s="5">
        <f>IF($A92="","",P_Criteres!J53)</f>
        <v/>
      </c>
      <c r="O92" s="5">
        <f>IF($A92="","",P_Criteres!D53)</f>
        <v/>
      </c>
      <c r="P92" s="34">
        <f>IF($A92="",0,IFERROR(INDEX(P_DomPoids,MATCH($B92,P_DomCodes,0)),0))</f>
        <v>0.0</v>
      </c>
      <c r="Q92" s="34">
        <f>P92*G92</f>
        <v>0.0</v>
      </c>
      <c r="R92" s="5">
        <f>IF(J92,IF(ISNUMBER(SEARCH(","&amp;D92&amp;",",","&amp;R91&amp;",")),R91,R91&amp;IF(R91="","",",")&amp;D92),R91)</f>
        <v/>
      </c>
      <c r="S92" s="5">
        <f>IF(I92,S91&amp;IF(S91="","","; ")&amp;"Lever la condition « "&amp;C92&amp;" » avant "&amp;SUBSTITUTE(LOWER(IF(P_Criteres!I53="","TIRAGE",P_Criteres!I53)),"etude","étude"),S91)</f>
        <v/>
      </c>
      <c r="T92" s="5">
        <f>IF(AND(J92,NOT(ISNUMBER(SEARCH(","&amp;D92&amp;",",","&amp;R91&amp;",")))),T91&amp;IF(T91="","",", ")&amp;IFERROR(INDEX(Saisie!$C$13:$C$92,MATCH(D92,In_Cles,0)),D92),T91)</f>
        <v/>
      </c>
      <c r="U92" s="48">
        <f>IF(OR($A92="",N(G92)&lt;=0),"",F92+ROW()/1000000)</f>
        <v/>
      </c>
      <c r="V92" s="5">
        <f>IF($A92="","",IF($E92="","(non renseignée)",IF($O92="QUAL",IFERROR(INDEX(P_Baremes!$F$5:$F$400,SUMPRODUCT(MAX((P_Baremes!$A$5:$A$400=$A92)*(P_Baremes!$B$5:$B$400="MODALITE")*(P_Baremes!$C$5:$C$400=$E92)*(ROW(P_Baremes!$A$5:$A$400)-4)))),$E92),$E92)))</f>
        <v/>
      </c>
    </row>
    <row r="93" spans="1:22">
      <c r="A93" s="5">
        <f>IF(P_Criteres!A54="","",P_Criteres!A54)</f>
        <v/>
      </c>
      <c r="B93" s="5">
        <f>IF($A93="","",P_Criteres!B54)</f>
        <v/>
      </c>
      <c r="C93" s="5">
        <f>IF($A93="","",P_Criteres!C54)</f>
        <v/>
      </c>
      <c r="D93" s="5">
        <f>IF($A93="","",P_Criteres!F54)</f>
        <v/>
      </c>
      <c r="E93" s="5">
        <f>IF($A93="","",IFERROR(INDEX(In_Retenue,MATCH($D93,In_Cles,0)),""))</f>
        <v/>
      </c>
      <c r="F93" s="34">
        <f>IF($A93="",0,ROUND(MIN(P_Scale,MAX(0,IF($L93=0,$K93,$M93))),2))</f>
        <v>0.0</v>
      </c>
      <c r="G93" s="34">
        <f>IF($A93="",0,P_Criteres!E54)</f>
        <v>0.0</v>
      </c>
      <c r="H93" s="34">
        <f>ROUND(F93*G93,2)</f>
        <v>0.0</v>
      </c>
      <c r="I93" s="5" t="b">
        <f>IF($A93="",FALSE,AND(P_Criteres!G54="Oui",ISNUMBER(P_Criteres!H54),F93&lt;=N(P_Criteres!H54)))</f>
        <v>0</v>
      </c>
      <c r="J93" s="5" t="b">
        <f>IF($A93="",FALSE,AND(OR(P_Criteres!G54="Oui",P_Criteres!K54="Oui"),$E93=""))</f>
        <v>0</v>
      </c>
      <c r="K93" s="34">
        <f t="array" ref="K93">IF($A93="",0,MIN(IF(P_Baremes!$A$5:$A$400=$A93,P_Baremes!$H$5:$H$400)))</f>
        <v>0.0</v>
      </c>
      <c r="L93" s="34">
        <f>IF($A93="",0,IF($O93="NUM",IF(ISNUMBER($E93),SUMPRODUCT((P_Baremes!$A$5:$A$400=$A93)*(P_Baremes!$B$5:$B$400="PLAGE")*(((P_Baremes!$D$5:$D$400="")+($E93&gt;=P_Baremes!$D$5:$D$400))&gt;0)*(((P_Baremes!$E$5:$E$400="")+($E93&lt;P_Baremes!$E$5:$E$400))&gt;0)),0),SUMPRODUCT((P_Baremes!$A$5:$A$400=$A93)*(P_Baremes!$B$5:$B$400="MODALITE")*(P_Baremes!$C$5:$C$400=$E93))))</f>
        <v>0.0</v>
      </c>
      <c r="M93" s="34">
        <f>IF($A93="",0,IF($L93=0,0,IF($O93="NUM",SUMPRODUCT((P_Baremes!$A$5:$A$400=$A93)*(P_Baremes!$B$5:$B$400="PLAGE")*(((P_Baremes!$D$5:$D$400="")+($E93&gt;=P_Baremes!$D$5:$D$400))&gt;0)*(((P_Baremes!$E$5:$E$400="")+($E93&lt;P_Baremes!$E$5:$E$400))&gt;0)*P_Baremes!$H$5:$H$400),SUMPRODUCT((P_Baremes!$A$5:$A$400=$A93)*(P_Baremes!$B$5:$B$400="MODALITE")*(P_Baremes!$C$5:$C$400=$E93)*P_Baremes!$H$5:$H$400))))</f>
        <v>0.0</v>
      </c>
      <c r="N93" s="5">
        <f>IF($A93="","",P_Criteres!J54)</f>
        <v/>
      </c>
      <c r="O93" s="5">
        <f>IF($A93="","",P_Criteres!D54)</f>
        <v/>
      </c>
      <c r="P93" s="34">
        <f>IF($A93="",0,IFERROR(INDEX(P_DomPoids,MATCH($B93,P_DomCodes,0)),0))</f>
        <v>0.0</v>
      </c>
      <c r="Q93" s="34">
        <f>P93*G93</f>
        <v>0.0</v>
      </c>
      <c r="R93" s="5">
        <f>IF(J93,IF(ISNUMBER(SEARCH(","&amp;D93&amp;",",","&amp;R92&amp;",")),R92,R92&amp;IF(R92="","",",")&amp;D93),R92)</f>
        <v/>
      </c>
      <c r="S93" s="5">
        <f>IF(I93,S92&amp;IF(S92="","","; ")&amp;"Lever la condition « "&amp;C93&amp;" » avant "&amp;SUBSTITUTE(LOWER(IF(P_Criteres!I54="","TIRAGE",P_Criteres!I54)),"etude","étude"),S92)</f>
        <v/>
      </c>
      <c r="T93" s="5">
        <f>IF(AND(J93,NOT(ISNUMBER(SEARCH(","&amp;D93&amp;",",","&amp;R92&amp;",")))),T92&amp;IF(T92="","",", ")&amp;IFERROR(INDEX(Saisie!$C$13:$C$92,MATCH(D93,In_Cles,0)),D93),T92)</f>
        <v/>
      </c>
      <c r="U93" s="48">
        <f>IF(OR($A93="",N(G93)&lt;=0),"",F93+ROW()/1000000)</f>
        <v/>
      </c>
      <c r="V93" s="5">
        <f>IF($A93="","",IF($E93="","(non renseignée)",IF($O93="QUAL",IFERROR(INDEX(P_Baremes!$F$5:$F$400,SUMPRODUCT(MAX((P_Baremes!$A$5:$A$400=$A93)*(P_Baremes!$B$5:$B$400="MODALITE")*(P_Baremes!$C$5:$C$400=$E93)*(ROW(P_Baremes!$A$5:$A$400)-4)))),$E93),$E93)))</f>
        <v/>
      </c>
    </row>
    <row r="94" spans="1:22">
      <c r="A94" s="5">
        <f>IF(P_Criteres!A55="","",P_Criteres!A55)</f>
        <v/>
      </c>
      <c r="B94" s="5">
        <f>IF($A94="","",P_Criteres!B55)</f>
        <v/>
      </c>
      <c r="C94" s="5">
        <f>IF($A94="","",P_Criteres!C55)</f>
        <v/>
      </c>
      <c r="D94" s="5">
        <f>IF($A94="","",P_Criteres!F55)</f>
        <v/>
      </c>
      <c r="E94" s="5">
        <f>IF($A94="","",IFERROR(INDEX(In_Retenue,MATCH($D94,In_Cles,0)),""))</f>
        <v/>
      </c>
      <c r="F94" s="34">
        <f>IF($A94="",0,ROUND(MIN(P_Scale,MAX(0,IF($L94=0,$K94,$M94))),2))</f>
        <v>0.0</v>
      </c>
      <c r="G94" s="34">
        <f>IF($A94="",0,P_Criteres!E55)</f>
        <v>0.0</v>
      </c>
      <c r="H94" s="34">
        <f>ROUND(F94*G94,2)</f>
        <v>0.0</v>
      </c>
      <c r="I94" s="5" t="b">
        <f>IF($A94="",FALSE,AND(P_Criteres!G55="Oui",ISNUMBER(P_Criteres!H55),F94&lt;=N(P_Criteres!H55)))</f>
        <v>0</v>
      </c>
      <c r="J94" s="5" t="b">
        <f>IF($A94="",FALSE,AND(OR(P_Criteres!G55="Oui",P_Criteres!K55="Oui"),$E94=""))</f>
        <v>0</v>
      </c>
      <c r="K94" s="34">
        <f t="array" ref="K94">IF($A94="",0,MIN(IF(P_Baremes!$A$5:$A$400=$A94,P_Baremes!$H$5:$H$400)))</f>
        <v>0.0</v>
      </c>
      <c r="L94" s="34">
        <f>IF($A94="",0,IF($O94="NUM",IF(ISNUMBER($E94),SUMPRODUCT((P_Baremes!$A$5:$A$400=$A94)*(P_Baremes!$B$5:$B$400="PLAGE")*(((P_Baremes!$D$5:$D$400="")+($E94&gt;=P_Baremes!$D$5:$D$400))&gt;0)*(((P_Baremes!$E$5:$E$400="")+($E94&lt;P_Baremes!$E$5:$E$400))&gt;0)),0),SUMPRODUCT((P_Baremes!$A$5:$A$400=$A94)*(P_Baremes!$B$5:$B$400="MODALITE")*(P_Baremes!$C$5:$C$400=$E94))))</f>
        <v>0.0</v>
      </c>
      <c r="M94" s="34">
        <f>IF($A94="",0,IF($L94=0,0,IF($O94="NUM",SUMPRODUCT((P_Baremes!$A$5:$A$400=$A94)*(P_Baremes!$B$5:$B$400="PLAGE")*(((P_Baremes!$D$5:$D$400="")+($E94&gt;=P_Baremes!$D$5:$D$400))&gt;0)*(((P_Baremes!$E$5:$E$400="")+($E94&lt;P_Baremes!$E$5:$E$400))&gt;0)*P_Baremes!$H$5:$H$400),SUMPRODUCT((P_Baremes!$A$5:$A$400=$A94)*(P_Baremes!$B$5:$B$400="MODALITE")*(P_Baremes!$C$5:$C$400=$E94)*P_Baremes!$H$5:$H$400))))</f>
        <v>0.0</v>
      </c>
      <c r="N94" s="5">
        <f>IF($A94="","",P_Criteres!J55)</f>
        <v/>
      </c>
      <c r="O94" s="5">
        <f>IF($A94="","",P_Criteres!D55)</f>
        <v/>
      </c>
      <c r="P94" s="34">
        <f>IF($A94="",0,IFERROR(INDEX(P_DomPoids,MATCH($B94,P_DomCodes,0)),0))</f>
        <v>0.0</v>
      </c>
      <c r="Q94" s="34">
        <f>P94*G94</f>
        <v>0.0</v>
      </c>
      <c r="R94" s="5">
        <f>IF(J94,IF(ISNUMBER(SEARCH(","&amp;D94&amp;",",","&amp;R93&amp;",")),R93,R93&amp;IF(R93="","",",")&amp;D94),R93)</f>
        <v/>
      </c>
      <c r="S94" s="5">
        <f>IF(I94,S93&amp;IF(S93="","","; ")&amp;"Lever la condition « "&amp;C94&amp;" » avant "&amp;SUBSTITUTE(LOWER(IF(P_Criteres!I55="","TIRAGE",P_Criteres!I55)),"etude","étude"),S93)</f>
        <v/>
      </c>
      <c r="T94" s="5">
        <f>IF(AND(J94,NOT(ISNUMBER(SEARCH(","&amp;D94&amp;",",","&amp;R93&amp;",")))),T93&amp;IF(T93="","",", ")&amp;IFERROR(INDEX(Saisie!$C$13:$C$92,MATCH(D94,In_Cles,0)),D94),T93)</f>
        <v/>
      </c>
      <c r="U94" s="48">
        <f>IF(OR($A94="",N(G94)&lt;=0),"",F94+ROW()/1000000)</f>
        <v/>
      </c>
      <c r="V94" s="5">
        <f>IF($A94="","",IF($E94="","(non renseignée)",IF($O94="QUAL",IFERROR(INDEX(P_Baremes!$F$5:$F$400,SUMPRODUCT(MAX((P_Baremes!$A$5:$A$400=$A94)*(P_Baremes!$B$5:$B$400="MODALITE")*(P_Baremes!$C$5:$C$400=$E94)*(ROW(P_Baremes!$A$5:$A$400)-4)))),$E94),$E94)))</f>
        <v/>
      </c>
    </row>
    <row r="95" spans="1:22">
      <c r="A95" s="5">
        <f>IF(P_Criteres!A56="","",P_Criteres!A56)</f>
        <v/>
      </c>
      <c r="B95" s="5">
        <f>IF($A95="","",P_Criteres!B56)</f>
        <v/>
      </c>
      <c r="C95" s="5">
        <f>IF($A95="","",P_Criteres!C56)</f>
        <v/>
      </c>
      <c r="D95" s="5">
        <f>IF($A95="","",P_Criteres!F56)</f>
        <v/>
      </c>
      <c r="E95" s="5">
        <f>IF($A95="","",IFERROR(INDEX(In_Retenue,MATCH($D95,In_Cles,0)),""))</f>
        <v/>
      </c>
      <c r="F95" s="34">
        <f>IF($A95="",0,ROUND(MIN(P_Scale,MAX(0,IF($L95=0,$K95,$M95))),2))</f>
        <v>0.0</v>
      </c>
      <c r="G95" s="34">
        <f>IF($A95="",0,P_Criteres!E56)</f>
        <v>0.0</v>
      </c>
      <c r="H95" s="34">
        <f>ROUND(F95*G95,2)</f>
        <v>0.0</v>
      </c>
      <c r="I95" s="5" t="b">
        <f>IF($A95="",FALSE,AND(P_Criteres!G56="Oui",ISNUMBER(P_Criteres!H56),F95&lt;=N(P_Criteres!H56)))</f>
        <v>0</v>
      </c>
      <c r="J95" s="5" t="b">
        <f>IF($A95="",FALSE,AND(OR(P_Criteres!G56="Oui",P_Criteres!K56="Oui"),$E95=""))</f>
        <v>0</v>
      </c>
      <c r="K95" s="34">
        <f t="array" ref="K95">IF($A95="",0,MIN(IF(P_Baremes!$A$5:$A$400=$A95,P_Baremes!$H$5:$H$400)))</f>
        <v>0.0</v>
      </c>
      <c r="L95" s="34">
        <f>IF($A95="",0,IF($O95="NUM",IF(ISNUMBER($E95),SUMPRODUCT((P_Baremes!$A$5:$A$400=$A95)*(P_Baremes!$B$5:$B$400="PLAGE")*(((P_Baremes!$D$5:$D$400="")+($E95&gt;=P_Baremes!$D$5:$D$400))&gt;0)*(((P_Baremes!$E$5:$E$400="")+($E95&lt;P_Baremes!$E$5:$E$400))&gt;0)),0),SUMPRODUCT((P_Baremes!$A$5:$A$400=$A95)*(P_Baremes!$B$5:$B$400="MODALITE")*(P_Baremes!$C$5:$C$400=$E95))))</f>
        <v>0.0</v>
      </c>
      <c r="M95" s="34">
        <f>IF($A95="",0,IF($L95=0,0,IF($O95="NUM",SUMPRODUCT((P_Baremes!$A$5:$A$400=$A95)*(P_Baremes!$B$5:$B$400="PLAGE")*(((P_Baremes!$D$5:$D$400="")+($E95&gt;=P_Baremes!$D$5:$D$400))&gt;0)*(((P_Baremes!$E$5:$E$400="")+($E95&lt;P_Baremes!$E$5:$E$400))&gt;0)*P_Baremes!$H$5:$H$400),SUMPRODUCT((P_Baremes!$A$5:$A$400=$A95)*(P_Baremes!$B$5:$B$400="MODALITE")*(P_Baremes!$C$5:$C$400=$E95)*P_Baremes!$H$5:$H$400))))</f>
        <v>0.0</v>
      </c>
      <c r="N95" s="5">
        <f>IF($A95="","",P_Criteres!J56)</f>
        <v/>
      </c>
      <c r="O95" s="5">
        <f>IF($A95="","",P_Criteres!D56)</f>
        <v/>
      </c>
      <c r="P95" s="34">
        <f>IF($A95="",0,IFERROR(INDEX(P_DomPoids,MATCH($B95,P_DomCodes,0)),0))</f>
        <v>0.0</v>
      </c>
      <c r="Q95" s="34">
        <f>P95*G95</f>
        <v>0.0</v>
      </c>
      <c r="R95" s="5">
        <f>IF(J95,IF(ISNUMBER(SEARCH(","&amp;D95&amp;",",","&amp;R94&amp;",")),R94,R94&amp;IF(R94="","",",")&amp;D95),R94)</f>
        <v/>
      </c>
      <c r="S95" s="5">
        <f>IF(I95,S94&amp;IF(S94="","","; ")&amp;"Lever la condition « "&amp;C95&amp;" » avant "&amp;SUBSTITUTE(LOWER(IF(P_Criteres!I56="","TIRAGE",P_Criteres!I56)),"etude","étude"),S94)</f>
        <v/>
      </c>
      <c r="T95" s="5">
        <f>IF(AND(J95,NOT(ISNUMBER(SEARCH(","&amp;D95&amp;",",","&amp;R94&amp;",")))),T94&amp;IF(T94="","",", ")&amp;IFERROR(INDEX(Saisie!$C$13:$C$92,MATCH(D95,In_Cles,0)),D95),T94)</f>
        <v/>
      </c>
      <c r="U95" s="48">
        <f>IF(OR($A95="",N(G95)&lt;=0),"",F95+ROW()/1000000)</f>
        <v/>
      </c>
      <c r="V95" s="5">
        <f>IF($A95="","",IF($E95="","(non renseignée)",IF($O95="QUAL",IFERROR(INDEX(P_Baremes!$F$5:$F$400,SUMPRODUCT(MAX((P_Baremes!$A$5:$A$400=$A95)*(P_Baremes!$B$5:$B$400="MODALITE")*(P_Baremes!$C$5:$C$400=$E95)*(ROW(P_Baremes!$A$5:$A$400)-4)))),$E95),$E95)))</f>
        <v/>
      </c>
    </row>
    <row r="96" spans="1:22">
      <c r="A96" s="5">
        <f>IF(P_Criteres!A57="","",P_Criteres!A57)</f>
        <v/>
      </c>
      <c r="B96" s="5">
        <f>IF($A96="","",P_Criteres!B57)</f>
        <v/>
      </c>
      <c r="C96" s="5">
        <f>IF($A96="","",P_Criteres!C57)</f>
        <v/>
      </c>
      <c r="D96" s="5">
        <f>IF($A96="","",P_Criteres!F57)</f>
        <v/>
      </c>
      <c r="E96" s="5">
        <f>IF($A96="","",IFERROR(INDEX(In_Retenue,MATCH($D96,In_Cles,0)),""))</f>
        <v/>
      </c>
      <c r="F96" s="34">
        <f>IF($A96="",0,ROUND(MIN(P_Scale,MAX(0,IF($L96=0,$K96,$M96))),2))</f>
        <v>0.0</v>
      </c>
      <c r="G96" s="34">
        <f>IF($A96="",0,P_Criteres!E57)</f>
        <v>0.0</v>
      </c>
      <c r="H96" s="34">
        <f>ROUND(F96*G96,2)</f>
        <v>0.0</v>
      </c>
      <c r="I96" s="5" t="b">
        <f>IF($A96="",FALSE,AND(P_Criteres!G57="Oui",ISNUMBER(P_Criteres!H57),F96&lt;=N(P_Criteres!H57)))</f>
        <v>0</v>
      </c>
      <c r="J96" s="5" t="b">
        <f>IF($A96="",FALSE,AND(OR(P_Criteres!G57="Oui",P_Criteres!K57="Oui"),$E96=""))</f>
        <v>0</v>
      </c>
      <c r="K96" s="34">
        <f t="array" ref="K96">IF($A96="",0,MIN(IF(P_Baremes!$A$5:$A$400=$A96,P_Baremes!$H$5:$H$400)))</f>
        <v>0.0</v>
      </c>
      <c r="L96" s="34">
        <f>IF($A96="",0,IF($O96="NUM",IF(ISNUMBER($E96),SUMPRODUCT((P_Baremes!$A$5:$A$400=$A96)*(P_Baremes!$B$5:$B$400="PLAGE")*(((P_Baremes!$D$5:$D$400="")+($E96&gt;=P_Baremes!$D$5:$D$400))&gt;0)*(((P_Baremes!$E$5:$E$400="")+($E96&lt;P_Baremes!$E$5:$E$400))&gt;0)),0),SUMPRODUCT((P_Baremes!$A$5:$A$400=$A96)*(P_Baremes!$B$5:$B$400="MODALITE")*(P_Baremes!$C$5:$C$400=$E96))))</f>
        <v>0.0</v>
      </c>
      <c r="M96" s="34">
        <f>IF($A96="",0,IF($L96=0,0,IF($O96="NUM",SUMPRODUCT((P_Baremes!$A$5:$A$400=$A96)*(P_Baremes!$B$5:$B$400="PLAGE")*(((P_Baremes!$D$5:$D$400="")+($E96&gt;=P_Baremes!$D$5:$D$400))&gt;0)*(((P_Baremes!$E$5:$E$400="")+($E96&lt;P_Baremes!$E$5:$E$400))&gt;0)*P_Baremes!$H$5:$H$400),SUMPRODUCT((P_Baremes!$A$5:$A$400=$A96)*(P_Baremes!$B$5:$B$400="MODALITE")*(P_Baremes!$C$5:$C$400=$E96)*P_Baremes!$H$5:$H$400))))</f>
        <v>0.0</v>
      </c>
      <c r="N96" s="5">
        <f>IF($A96="","",P_Criteres!J57)</f>
        <v/>
      </c>
      <c r="O96" s="5">
        <f>IF($A96="","",P_Criteres!D57)</f>
        <v/>
      </c>
      <c r="P96" s="34">
        <f>IF($A96="",0,IFERROR(INDEX(P_DomPoids,MATCH($B96,P_DomCodes,0)),0))</f>
        <v>0.0</v>
      </c>
      <c r="Q96" s="34">
        <f>P96*G96</f>
        <v>0.0</v>
      </c>
      <c r="R96" s="5">
        <f>IF(J96,IF(ISNUMBER(SEARCH(","&amp;D96&amp;",",","&amp;R95&amp;",")),R95,R95&amp;IF(R95="","",",")&amp;D96),R95)</f>
        <v/>
      </c>
      <c r="S96" s="5">
        <f>IF(I96,S95&amp;IF(S95="","","; ")&amp;"Lever la condition « "&amp;C96&amp;" » avant "&amp;SUBSTITUTE(LOWER(IF(P_Criteres!I57="","TIRAGE",P_Criteres!I57)),"etude","étude"),S95)</f>
        <v/>
      </c>
      <c r="T96" s="5">
        <f>IF(AND(J96,NOT(ISNUMBER(SEARCH(","&amp;D96&amp;",",","&amp;R95&amp;",")))),T95&amp;IF(T95="","",", ")&amp;IFERROR(INDEX(Saisie!$C$13:$C$92,MATCH(D96,In_Cles,0)),D96),T95)</f>
        <v/>
      </c>
      <c r="U96" s="48">
        <f>IF(OR($A96="",N(G96)&lt;=0),"",F96+ROW()/1000000)</f>
        <v/>
      </c>
      <c r="V96" s="5">
        <f>IF($A96="","",IF($E96="","(non renseignée)",IF($O96="QUAL",IFERROR(INDEX(P_Baremes!$F$5:$F$400,SUMPRODUCT(MAX((P_Baremes!$A$5:$A$400=$A96)*(P_Baremes!$B$5:$B$400="MODALITE")*(P_Baremes!$C$5:$C$400=$E96)*(ROW(P_Baremes!$A$5:$A$400)-4)))),$E96),$E96)))</f>
        <v/>
      </c>
    </row>
    <row r="97" spans="1:22">
      <c r="A97" s="5">
        <f>IF(P_Criteres!A58="","",P_Criteres!A58)</f>
        <v/>
      </c>
      <c r="B97" s="5">
        <f>IF($A97="","",P_Criteres!B58)</f>
        <v/>
      </c>
      <c r="C97" s="5">
        <f>IF($A97="","",P_Criteres!C58)</f>
        <v/>
      </c>
      <c r="D97" s="5">
        <f>IF($A97="","",P_Criteres!F58)</f>
        <v/>
      </c>
      <c r="E97" s="5">
        <f>IF($A97="","",IFERROR(INDEX(In_Retenue,MATCH($D97,In_Cles,0)),""))</f>
        <v/>
      </c>
      <c r="F97" s="34">
        <f>IF($A97="",0,ROUND(MIN(P_Scale,MAX(0,IF($L97=0,$K97,$M97))),2))</f>
        <v>0.0</v>
      </c>
      <c r="G97" s="34">
        <f>IF($A97="",0,P_Criteres!E58)</f>
        <v>0.0</v>
      </c>
      <c r="H97" s="34">
        <f>ROUND(F97*G97,2)</f>
        <v>0.0</v>
      </c>
      <c r="I97" s="5" t="b">
        <f>IF($A97="",FALSE,AND(P_Criteres!G58="Oui",ISNUMBER(P_Criteres!H58),F97&lt;=N(P_Criteres!H58)))</f>
        <v>0</v>
      </c>
      <c r="J97" s="5" t="b">
        <f>IF($A97="",FALSE,AND(OR(P_Criteres!G58="Oui",P_Criteres!K58="Oui"),$E97=""))</f>
        <v>0</v>
      </c>
      <c r="K97" s="34">
        <f t="array" ref="K97">IF($A97="",0,MIN(IF(P_Baremes!$A$5:$A$400=$A97,P_Baremes!$H$5:$H$400)))</f>
        <v>0.0</v>
      </c>
      <c r="L97" s="34">
        <f>IF($A97="",0,IF($O97="NUM",IF(ISNUMBER($E97),SUMPRODUCT((P_Baremes!$A$5:$A$400=$A97)*(P_Baremes!$B$5:$B$400="PLAGE")*(((P_Baremes!$D$5:$D$400="")+($E97&gt;=P_Baremes!$D$5:$D$400))&gt;0)*(((P_Baremes!$E$5:$E$400="")+($E97&lt;P_Baremes!$E$5:$E$400))&gt;0)),0),SUMPRODUCT((P_Baremes!$A$5:$A$400=$A97)*(P_Baremes!$B$5:$B$400="MODALITE")*(P_Baremes!$C$5:$C$400=$E97))))</f>
        <v>0.0</v>
      </c>
      <c r="M97" s="34">
        <f>IF($A97="",0,IF($L97=0,0,IF($O97="NUM",SUMPRODUCT((P_Baremes!$A$5:$A$400=$A97)*(P_Baremes!$B$5:$B$400="PLAGE")*(((P_Baremes!$D$5:$D$400="")+($E97&gt;=P_Baremes!$D$5:$D$400))&gt;0)*(((P_Baremes!$E$5:$E$400="")+($E97&lt;P_Baremes!$E$5:$E$400))&gt;0)*P_Baremes!$H$5:$H$400),SUMPRODUCT((P_Baremes!$A$5:$A$400=$A97)*(P_Baremes!$B$5:$B$400="MODALITE")*(P_Baremes!$C$5:$C$400=$E97)*P_Baremes!$H$5:$H$400))))</f>
        <v>0.0</v>
      </c>
      <c r="N97" s="5">
        <f>IF($A97="","",P_Criteres!J58)</f>
        <v/>
      </c>
      <c r="O97" s="5">
        <f>IF($A97="","",P_Criteres!D58)</f>
        <v/>
      </c>
      <c r="P97" s="34">
        <f>IF($A97="",0,IFERROR(INDEX(P_DomPoids,MATCH($B97,P_DomCodes,0)),0))</f>
        <v>0.0</v>
      </c>
      <c r="Q97" s="34">
        <f>P97*G97</f>
        <v>0.0</v>
      </c>
      <c r="R97" s="5">
        <f>IF(J97,IF(ISNUMBER(SEARCH(","&amp;D97&amp;",",","&amp;R96&amp;",")),R96,R96&amp;IF(R96="","",",")&amp;D97),R96)</f>
        <v/>
      </c>
      <c r="S97" s="5">
        <f>IF(I97,S96&amp;IF(S96="","","; ")&amp;"Lever la condition « "&amp;C97&amp;" » avant "&amp;SUBSTITUTE(LOWER(IF(P_Criteres!I58="","TIRAGE",P_Criteres!I58)),"etude","étude"),S96)</f>
        <v/>
      </c>
      <c r="T97" s="5">
        <f>IF(AND(J97,NOT(ISNUMBER(SEARCH(","&amp;D97&amp;",",","&amp;R96&amp;",")))),T96&amp;IF(T96="","",", ")&amp;IFERROR(INDEX(Saisie!$C$13:$C$92,MATCH(D97,In_Cles,0)),D97),T96)</f>
        <v/>
      </c>
      <c r="U97" s="48">
        <f>IF(OR($A97="",N(G97)&lt;=0),"",F97+ROW()/1000000)</f>
        <v/>
      </c>
      <c r="V97" s="5">
        <f>IF($A97="","",IF($E97="","(non renseignée)",IF($O97="QUAL",IFERROR(INDEX(P_Baremes!$F$5:$F$400,SUMPRODUCT(MAX((P_Baremes!$A$5:$A$400=$A97)*(P_Baremes!$B$5:$B$400="MODALITE")*(P_Baremes!$C$5:$C$400=$E97)*(ROW(P_Baremes!$A$5:$A$400)-4)))),$E97),$E97)))</f>
        <v/>
      </c>
    </row>
    <row r="98" spans="1:22">
      <c r="A98" s="5">
        <f>IF(P_Criteres!A59="","",P_Criteres!A59)</f>
        <v/>
      </c>
      <c r="B98" s="5">
        <f>IF($A98="","",P_Criteres!B59)</f>
        <v/>
      </c>
      <c r="C98" s="5">
        <f>IF($A98="","",P_Criteres!C59)</f>
        <v/>
      </c>
      <c r="D98" s="5">
        <f>IF($A98="","",P_Criteres!F59)</f>
        <v/>
      </c>
      <c r="E98" s="5">
        <f>IF($A98="","",IFERROR(INDEX(In_Retenue,MATCH($D98,In_Cles,0)),""))</f>
        <v/>
      </c>
      <c r="F98" s="34">
        <f>IF($A98="",0,ROUND(MIN(P_Scale,MAX(0,IF($L98=0,$K98,$M98))),2))</f>
        <v>0.0</v>
      </c>
      <c r="G98" s="34">
        <f>IF($A98="",0,P_Criteres!E59)</f>
        <v>0.0</v>
      </c>
      <c r="H98" s="34">
        <f>ROUND(F98*G98,2)</f>
        <v>0.0</v>
      </c>
      <c r="I98" s="5" t="b">
        <f>IF($A98="",FALSE,AND(P_Criteres!G59="Oui",ISNUMBER(P_Criteres!H59),F98&lt;=N(P_Criteres!H59)))</f>
        <v>0</v>
      </c>
      <c r="J98" s="5" t="b">
        <f>IF($A98="",FALSE,AND(OR(P_Criteres!G59="Oui",P_Criteres!K59="Oui"),$E98=""))</f>
        <v>0</v>
      </c>
      <c r="K98" s="34">
        <f t="array" ref="K98">IF($A98="",0,MIN(IF(P_Baremes!$A$5:$A$400=$A98,P_Baremes!$H$5:$H$400)))</f>
        <v>0.0</v>
      </c>
      <c r="L98" s="34">
        <f>IF($A98="",0,IF($O98="NUM",IF(ISNUMBER($E98),SUMPRODUCT((P_Baremes!$A$5:$A$400=$A98)*(P_Baremes!$B$5:$B$400="PLAGE")*(((P_Baremes!$D$5:$D$400="")+($E98&gt;=P_Baremes!$D$5:$D$400))&gt;0)*(((P_Baremes!$E$5:$E$400="")+($E98&lt;P_Baremes!$E$5:$E$400))&gt;0)),0),SUMPRODUCT((P_Baremes!$A$5:$A$400=$A98)*(P_Baremes!$B$5:$B$400="MODALITE")*(P_Baremes!$C$5:$C$400=$E98))))</f>
        <v>0.0</v>
      </c>
      <c r="M98" s="34">
        <f>IF($A98="",0,IF($L98=0,0,IF($O98="NUM",SUMPRODUCT((P_Baremes!$A$5:$A$400=$A98)*(P_Baremes!$B$5:$B$400="PLAGE")*(((P_Baremes!$D$5:$D$400="")+($E98&gt;=P_Baremes!$D$5:$D$400))&gt;0)*(((P_Baremes!$E$5:$E$400="")+($E98&lt;P_Baremes!$E$5:$E$400))&gt;0)*P_Baremes!$H$5:$H$400),SUMPRODUCT((P_Baremes!$A$5:$A$400=$A98)*(P_Baremes!$B$5:$B$400="MODALITE")*(P_Baremes!$C$5:$C$400=$E98)*P_Baremes!$H$5:$H$400))))</f>
        <v>0.0</v>
      </c>
      <c r="N98" s="5">
        <f>IF($A98="","",P_Criteres!J59)</f>
        <v/>
      </c>
      <c r="O98" s="5">
        <f>IF($A98="","",P_Criteres!D59)</f>
        <v/>
      </c>
      <c r="P98" s="34">
        <f>IF($A98="",0,IFERROR(INDEX(P_DomPoids,MATCH($B98,P_DomCodes,0)),0))</f>
        <v>0.0</v>
      </c>
      <c r="Q98" s="34">
        <f>P98*G98</f>
        <v>0.0</v>
      </c>
      <c r="R98" s="5">
        <f>IF(J98,IF(ISNUMBER(SEARCH(","&amp;D98&amp;",",","&amp;R97&amp;",")),R97,R97&amp;IF(R97="","",",")&amp;D98),R97)</f>
        <v/>
      </c>
      <c r="S98" s="5">
        <f>IF(I98,S97&amp;IF(S97="","","; ")&amp;"Lever la condition « "&amp;C98&amp;" » avant "&amp;SUBSTITUTE(LOWER(IF(P_Criteres!I59="","TIRAGE",P_Criteres!I59)),"etude","étude"),S97)</f>
        <v/>
      </c>
      <c r="T98" s="5">
        <f>IF(AND(J98,NOT(ISNUMBER(SEARCH(","&amp;D98&amp;",",","&amp;R97&amp;",")))),T97&amp;IF(T97="","",", ")&amp;IFERROR(INDEX(Saisie!$C$13:$C$92,MATCH(D98,In_Cles,0)),D98),T97)</f>
        <v/>
      </c>
      <c r="U98" s="48">
        <f>IF(OR($A98="",N(G98)&lt;=0),"",F98+ROW()/1000000)</f>
        <v/>
      </c>
      <c r="V98" s="5">
        <f>IF($A98="","",IF($E98="","(non renseignée)",IF($O98="QUAL",IFERROR(INDEX(P_Baremes!$F$5:$F$400,SUMPRODUCT(MAX((P_Baremes!$A$5:$A$400=$A98)*(P_Baremes!$B$5:$B$400="MODALITE")*(P_Baremes!$C$5:$C$400=$E98)*(ROW(P_Baremes!$A$5:$A$400)-4)))),$E98),$E98)))</f>
        <v/>
      </c>
    </row>
    <row r="99" spans="1:22">
      <c r="A99" s="5">
        <f>IF(P_Criteres!A60="","",P_Criteres!A60)</f>
        <v/>
      </c>
      <c r="B99" s="5">
        <f>IF($A99="","",P_Criteres!B60)</f>
        <v/>
      </c>
      <c r="C99" s="5">
        <f>IF($A99="","",P_Criteres!C60)</f>
        <v/>
      </c>
      <c r="D99" s="5">
        <f>IF($A99="","",P_Criteres!F60)</f>
        <v/>
      </c>
      <c r="E99" s="5">
        <f>IF($A99="","",IFERROR(INDEX(In_Retenue,MATCH($D99,In_Cles,0)),""))</f>
        <v/>
      </c>
      <c r="F99" s="34">
        <f>IF($A99="",0,ROUND(MIN(P_Scale,MAX(0,IF($L99=0,$K99,$M99))),2))</f>
        <v>0.0</v>
      </c>
      <c r="G99" s="34">
        <f>IF($A99="",0,P_Criteres!E60)</f>
        <v>0.0</v>
      </c>
      <c r="H99" s="34">
        <f>ROUND(F99*G99,2)</f>
        <v>0.0</v>
      </c>
      <c r="I99" s="5" t="b">
        <f>IF($A99="",FALSE,AND(P_Criteres!G60="Oui",ISNUMBER(P_Criteres!H60),F99&lt;=N(P_Criteres!H60)))</f>
        <v>0</v>
      </c>
      <c r="J99" s="5" t="b">
        <f>IF($A99="",FALSE,AND(OR(P_Criteres!G60="Oui",P_Criteres!K60="Oui"),$E99=""))</f>
        <v>0</v>
      </c>
      <c r="K99" s="34">
        <f t="array" ref="K99">IF($A99="",0,MIN(IF(P_Baremes!$A$5:$A$400=$A99,P_Baremes!$H$5:$H$400)))</f>
        <v>0.0</v>
      </c>
      <c r="L99" s="34">
        <f>IF($A99="",0,IF($O99="NUM",IF(ISNUMBER($E99),SUMPRODUCT((P_Baremes!$A$5:$A$400=$A99)*(P_Baremes!$B$5:$B$400="PLAGE")*(((P_Baremes!$D$5:$D$400="")+($E99&gt;=P_Baremes!$D$5:$D$400))&gt;0)*(((P_Baremes!$E$5:$E$400="")+($E99&lt;P_Baremes!$E$5:$E$400))&gt;0)),0),SUMPRODUCT((P_Baremes!$A$5:$A$400=$A99)*(P_Baremes!$B$5:$B$400="MODALITE")*(P_Baremes!$C$5:$C$400=$E99))))</f>
        <v>0.0</v>
      </c>
      <c r="M99" s="34">
        <f>IF($A99="",0,IF($L99=0,0,IF($O99="NUM",SUMPRODUCT((P_Baremes!$A$5:$A$400=$A99)*(P_Baremes!$B$5:$B$400="PLAGE")*(((P_Baremes!$D$5:$D$400="")+($E99&gt;=P_Baremes!$D$5:$D$400))&gt;0)*(((P_Baremes!$E$5:$E$400="")+($E99&lt;P_Baremes!$E$5:$E$400))&gt;0)*P_Baremes!$H$5:$H$400),SUMPRODUCT((P_Baremes!$A$5:$A$400=$A99)*(P_Baremes!$B$5:$B$400="MODALITE")*(P_Baremes!$C$5:$C$400=$E99)*P_Baremes!$H$5:$H$400))))</f>
        <v>0.0</v>
      </c>
      <c r="N99" s="5">
        <f>IF($A99="","",P_Criteres!J60)</f>
        <v/>
      </c>
      <c r="O99" s="5">
        <f>IF($A99="","",P_Criteres!D60)</f>
        <v/>
      </c>
      <c r="P99" s="34">
        <f>IF($A99="",0,IFERROR(INDEX(P_DomPoids,MATCH($B99,P_DomCodes,0)),0))</f>
        <v>0.0</v>
      </c>
      <c r="Q99" s="34">
        <f>P99*G99</f>
        <v>0.0</v>
      </c>
      <c r="R99" s="5">
        <f>IF(J99,IF(ISNUMBER(SEARCH(","&amp;D99&amp;",",","&amp;R98&amp;",")),R98,R98&amp;IF(R98="","",",")&amp;D99),R98)</f>
        <v/>
      </c>
      <c r="S99" s="5">
        <f>IF(I99,S98&amp;IF(S98="","","; ")&amp;"Lever la condition « "&amp;C99&amp;" » avant "&amp;SUBSTITUTE(LOWER(IF(P_Criteres!I60="","TIRAGE",P_Criteres!I60)),"etude","étude"),S98)</f>
        <v/>
      </c>
      <c r="T99" s="5">
        <f>IF(AND(J99,NOT(ISNUMBER(SEARCH(","&amp;D99&amp;",",","&amp;R98&amp;",")))),T98&amp;IF(T98="","",", ")&amp;IFERROR(INDEX(Saisie!$C$13:$C$92,MATCH(D99,In_Cles,0)),D99),T98)</f>
        <v/>
      </c>
      <c r="U99" s="48">
        <f>IF(OR($A99="",N(G99)&lt;=0),"",F99+ROW()/1000000)</f>
        <v/>
      </c>
      <c r="V99" s="5">
        <f>IF($A99="","",IF($E99="","(non renseignée)",IF($O99="QUAL",IFERROR(INDEX(P_Baremes!$F$5:$F$400,SUMPRODUCT(MAX((P_Baremes!$A$5:$A$400=$A99)*(P_Baremes!$B$5:$B$400="MODALITE")*(P_Baremes!$C$5:$C$400=$E99)*(ROW(P_Baremes!$A$5:$A$400)-4)))),$E99),$E99)))</f>
        <v/>
      </c>
    </row>
    <row r="100" spans="1:22">
      <c r="A100" s="5">
        <f>IF(P_Criteres!A61="","",P_Criteres!A61)</f>
        <v/>
      </c>
      <c r="B100" s="5">
        <f>IF($A100="","",P_Criteres!B61)</f>
        <v/>
      </c>
      <c r="C100" s="5">
        <f>IF($A100="","",P_Criteres!C61)</f>
        <v/>
      </c>
      <c r="D100" s="5">
        <f>IF($A100="","",P_Criteres!F61)</f>
        <v/>
      </c>
      <c r="E100" s="5">
        <f>IF($A100="","",IFERROR(INDEX(In_Retenue,MATCH($D100,In_Cles,0)),""))</f>
        <v/>
      </c>
      <c r="F100" s="34">
        <f>IF($A100="",0,ROUND(MIN(P_Scale,MAX(0,IF($L100=0,$K100,$M100))),2))</f>
        <v>0.0</v>
      </c>
      <c r="G100" s="34">
        <f>IF($A100="",0,P_Criteres!E61)</f>
        <v>0.0</v>
      </c>
      <c r="H100" s="34">
        <f>ROUND(F100*G100,2)</f>
        <v>0.0</v>
      </c>
      <c r="I100" s="5" t="b">
        <f>IF($A100="",FALSE,AND(P_Criteres!G61="Oui",ISNUMBER(P_Criteres!H61),F100&lt;=N(P_Criteres!H61)))</f>
        <v>0</v>
      </c>
      <c r="J100" s="5" t="b">
        <f>IF($A100="",FALSE,AND(OR(P_Criteres!G61="Oui",P_Criteres!K61="Oui"),$E100=""))</f>
        <v>0</v>
      </c>
      <c r="K100" s="34">
        <f t="array" ref="K100">IF($A100="",0,MIN(IF(P_Baremes!$A$5:$A$400=$A100,P_Baremes!$H$5:$H$400)))</f>
        <v>0.0</v>
      </c>
      <c r="L100" s="34">
        <f>IF($A100="",0,IF($O100="NUM",IF(ISNUMBER($E100),SUMPRODUCT((P_Baremes!$A$5:$A$400=$A100)*(P_Baremes!$B$5:$B$400="PLAGE")*(((P_Baremes!$D$5:$D$400="")+($E100&gt;=P_Baremes!$D$5:$D$400))&gt;0)*(((P_Baremes!$E$5:$E$400="")+($E100&lt;P_Baremes!$E$5:$E$400))&gt;0)),0),SUMPRODUCT((P_Baremes!$A$5:$A$400=$A100)*(P_Baremes!$B$5:$B$400="MODALITE")*(P_Baremes!$C$5:$C$400=$E100))))</f>
        <v>0.0</v>
      </c>
      <c r="M100" s="34">
        <f>IF($A100="",0,IF($L100=0,0,IF($O100="NUM",SUMPRODUCT((P_Baremes!$A$5:$A$400=$A100)*(P_Baremes!$B$5:$B$400="PLAGE")*(((P_Baremes!$D$5:$D$400="")+($E100&gt;=P_Baremes!$D$5:$D$400))&gt;0)*(((P_Baremes!$E$5:$E$400="")+($E100&lt;P_Baremes!$E$5:$E$400))&gt;0)*P_Baremes!$H$5:$H$400),SUMPRODUCT((P_Baremes!$A$5:$A$400=$A100)*(P_Baremes!$B$5:$B$400="MODALITE")*(P_Baremes!$C$5:$C$400=$E100)*P_Baremes!$H$5:$H$400))))</f>
        <v>0.0</v>
      </c>
      <c r="N100" s="5">
        <f>IF($A100="","",P_Criteres!J61)</f>
        <v/>
      </c>
      <c r="O100" s="5">
        <f>IF($A100="","",P_Criteres!D61)</f>
        <v/>
      </c>
      <c r="P100" s="34">
        <f>IF($A100="",0,IFERROR(INDEX(P_DomPoids,MATCH($B100,P_DomCodes,0)),0))</f>
        <v>0.0</v>
      </c>
      <c r="Q100" s="34">
        <f>P100*G100</f>
        <v>0.0</v>
      </c>
      <c r="R100" s="5">
        <f>IF(J100,IF(ISNUMBER(SEARCH(","&amp;D100&amp;",",","&amp;R99&amp;",")),R99,R99&amp;IF(R99="","",",")&amp;D100),R99)</f>
        <v/>
      </c>
      <c r="S100" s="5">
        <f>IF(I100,S99&amp;IF(S99="","","; ")&amp;"Lever la condition « "&amp;C100&amp;" » avant "&amp;SUBSTITUTE(LOWER(IF(P_Criteres!I61="","TIRAGE",P_Criteres!I61)),"etude","étude"),S99)</f>
        <v/>
      </c>
      <c r="T100" s="5">
        <f>IF(AND(J100,NOT(ISNUMBER(SEARCH(","&amp;D100&amp;",",","&amp;R99&amp;",")))),T99&amp;IF(T99="","",", ")&amp;IFERROR(INDEX(Saisie!$C$13:$C$92,MATCH(D100,In_Cles,0)),D100),T99)</f>
        <v/>
      </c>
      <c r="U100" s="48">
        <f>IF(OR($A100="",N(G100)&lt;=0),"",F100+ROW()/1000000)</f>
        <v/>
      </c>
      <c r="V100" s="5">
        <f>IF($A100="","",IF($E100="","(non renseignée)",IF($O100="QUAL",IFERROR(INDEX(P_Baremes!$F$5:$F$400,SUMPRODUCT(MAX((P_Baremes!$A$5:$A$400=$A100)*(P_Baremes!$B$5:$B$400="MODALITE")*(P_Baremes!$C$5:$C$400=$E100)*(ROW(P_Baremes!$A$5:$A$400)-4)))),$E100),$E100)))</f>
        <v/>
      </c>
    </row>
    <row r="101" spans="1:22">
      <c r="A101" s="5">
        <f>IF(P_Criteres!A62="","",P_Criteres!A62)</f>
        <v/>
      </c>
      <c r="B101" s="5">
        <f>IF($A101="","",P_Criteres!B62)</f>
        <v/>
      </c>
      <c r="C101" s="5">
        <f>IF($A101="","",P_Criteres!C62)</f>
        <v/>
      </c>
      <c r="D101" s="5">
        <f>IF($A101="","",P_Criteres!F62)</f>
        <v/>
      </c>
      <c r="E101" s="5">
        <f>IF($A101="","",IFERROR(INDEX(In_Retenue,MATCH($D101,In_Cles,0)),""))</f>
        <v/>
      </c>
      <c r="F101" s="34">
        <f>IF($A101="",0,ROUND(MIN(P_Scale,MAX(0,IF($L101=0,$K101,$M101))),2))</f>
        <v>0.0</v>
      </c>
      <c r="G101" s="34">
        <f>IF($A101="",0,P_Criteres!E62)</f>
        <v>0.0</v>
      </c>
      <c r="H101" s="34">
        <f>ROUND(F101*G101,2)</f>
        <v>0.0</v>
      </c>
      <c r="I101" s="5" t="b">
        <f>IF($A101="",FALSE,AND(P_Criteres!G62="Oui",ISNUMBER(P_Criteres!H62),F101&lt;=N(P_Criteres!H62)))</f>
        <v>0</v>
      </c>
      <c r="J101" s="5" t="b">
        <f>IF($A101="",FALSE,AND(OR(P_Criteres!G62="Oui",P_Criteres!K62="Oui"),$E101=""))</f>
        <v>0</v>
      </c>
      <c r="K101" s="34">
        <f t="array" ref="K101">IF($A101="",0,MIN(IF(P_Baremes!$A$5:$A$400=$A101,P_Baremes!$H$5:$H$400)))</f>
        <v>0.0</v>
      </c>
      <c r="L101" s="34">
        <f>IF($A101="",0,IF($O101="NUM",IF(ISNUMBER($E101),SUMPRODUCT((P_Baremes!$A$5:$A$400=$A101)*(P_Baremes!$B$5:$B$400="PLAGE")*(((P_Baremes!$D$5:$D$400="")+($E101&gt;=P_Baremes!$D$5:$D$400))&gt;0)*(((P_Baremes!$E$5:$E$400="")+($E101&lt;P_Baremes!$E$5:$E$400))&gt;0)),0),SUMPRODUCT((P_Baremes!$A$5:$A$400=$A101)*(P_Baremes!$B$5:$B$400="MODALITE")*(P_Baremes!$C$5:$C$400=$E101))))</f>
        <v>0.0</v>
      </c>
      <c r="M101" s="34">
        <f>IF($A101="",0,IF($L101=0,0,IF($O101="NUM",SUMPRODUCT((P_Baremes!$A$5:$A$400=$A101)*(P_Baremes!$B$5:$B$400="PLAGE")*(((P_Baremes!$D$5:$D$400="")+($E101&gt;=P_Baremes!$D$5:$D$400))&gt;0)*(((P_Baremes!$E$5:$E$400="")+($E101&lt;P_Baremes!$E$5:$E$400))&gt;0)*P_Baremes!$H$5:$H$400),SUMPRODUCT((P_Baremes!$A$5:$A$400=$A101)*(P_Baremes!$B$5:$B$400="MODALITE")*(P_Baremes!$C$5:$C$400=$E101)*P_Baremes!$H$5:$H$400))))</f>
        <v>0.0</v>
      </c>
      <c r="N101" s="5">
        <f>IF($A101="","",P_Criteres!J62)</f>
        <v/>
      </c>
      <c r="O101" s="5">
        <f>IF($A101="","",P_Criteres!D62)</f>
        <v/>
      </c>
      <c r="P101" s="34">
        <f>IF($A101="",0,IFERROR(INDEX(P_DomPoids,MATCH($B101,P_DomCodes,0)),0))</f>
        <v>0.0</v>
      </c>
      <c r="Q101" s="34">
        <f>P101*G101</f>
        <v>0.0</v>
      </c>
      <c r="R101" s="5">
        <f>IF(J101,IF(ISNUMBER(SEARCH(","&amp;D101&amp;",",","&amp;R100&amp;",")),R100,R100&amp;IF(R100="","",",")&amp;D101),R100)</f>
        <v/>
      </c>
      <c r="S101" s="5">
        <f>IF(I101,S100&amp;IF(S100="","","; ")&amp;"Lever la condition « "&amp;C101&amp;" » avant "&amp;SUBSTITUTE(LOWER(IF(P_Criteres!I62="","TIRAGE",P_Criteres!I62)),"etude","étude"),S100)</f>
        <v/>
      </c>
      <c r="T101" s="5">
        <f>IF(AND(J101,NOT(ISNUMBER(SEARCH(","&amp;D101&amp;",",","&amp;R100&amp;",")))),T100&amp;IF(T100="","",", ")&amp;IFERROR(INDEX(Saisie!$C$13:$C$92,MATCH(D101,In_Cles,0)),D101),T100)</f>
        <v/>
      </c>
      <c r="U101" s="48">
        <f>IF(OR($A101="",N(G101)&lt;=0),"",F101+ROW()/1000000)</f>
        <v/>
      </c>
      <c r="V101" s="5">
        <f>IF($A101="","",IF($E101="","(non renseignée)",IF($O101="QUAL",IFERROR(INDEX(P_Baremes!$F$5:$F$400,SUMPRODUCT(MAX((P_Baremes!$A$5:$A$400=$A101)*(P_Baremes!$B$5:$B$400="MODALITE")*(P_Baremes!$C$5:$C$400=$E101)*(ROW(P_Baremes!$A$5:$A$400)-4)))),$E101),$E101)))</f>
        <v/>
      </c>
    </row>
    <row r="102" spans="1:22">
      <c r="A102" s="5">
        <f>IF(P_Criteres!A63="","",P_Criteres!A63)</f>
        <v/>
      </c>
      <c r="B102" s="5">
        <f>IF($A102="","",P_Criteres!B63)</f>
        <v/>
      </c>
      <c r="C102" s="5">
        <f>IF($A102="","",P_Criteres!C63)</f>
        <v/>
      </c>
      <c r="D102" s="5">
        <f>IF($A102="","",P_Criteres!F63)</f>
        <v/>
      </c>
      <c r="E102" s="5">
        <f>IF($A102="","",IFERROR(INDEX(In_Retenue,MATCH($D102,In_Cles,0)),""))</f>
        <v/>
      </c>
      <c r="F102" s="34">
        <f>IF($A102="",0,ROUND(MIN(P_Scale,MAX(0,IF($L102=0,$K102,$M102))),2))</f>
        <v>0.0</v>
      </c>
      <c r="G102" s="34">
        <f>IF($A102="",0,P_Criteres!E63)</f>
        <v>0.0</v>
      </c>
      <c r="H102" s="34">
        <f>ROUND(F102*G102,2)</f>
        <v>0.0</v>
      </c>
      <c r="I102" s="5" t="b">
        <f>IF($A102="",FALSE,AND(P_Criteres!G63="Oui",ISNUMBER(P_Criteres!H63),F102&lt;=N(P_Criteres!H63)))</f>
        <v>0</v>
      </c>
      <c r="J102" s="5" t="b">
        <f>IF($A102="",FALSE,AND(OR(P_Criteres!G63="Oui",P_Criteres!K63="Oui"),$E102=""))</f>
        <v>0</v>
      </c>
      <c r="K102" s="34">
        <f t="array" ref="K102">IF($A102="",0,MIN(IF(P_Baremes!$A$5:$A$400=$A102,P_Baremes!$H$5:$H$400)))</f>
        <v>0.0</v>
      </c>
      <c r="L102" s="34">
        <f>IF($A102="",0,IF($O102="NUM",IF(ISNUMBER($E102),SUMPRODUCT((P_Baremes!$A$5:$A$400=$A102)*(P_Baremes!$B$5:$B$400="PLAGE")*(((P_Baremes!$D$5:$D$400="")+($E102&gt;=P_Baremes!$D$5:$D$400))&gt;0)*(((P_Baremes!$E$5:$E$400="")+($E102&lt;P_Baremes!$E$5:$E$400))&gt;0)),0),SUMPRODUCT((P_Baremes!$A$5:$A$400=$A102)*(P_Baremes!$B$5:$B$400="MODALITE")*(P_Baremes!$C$5:$C$400=$E102))))</f>
        <v>0.0</v>
      </c>
      <c r="M102" s="34">
        <f>IF($A102="",0,IF($L102=0,0,IF($O102="NUM",SUMPRODUCT((P_Baremes!$A$5:$A$400=$A102)*(P_Baremes!$B$5:$B$400="PLAGE")*(((P_Baremes!$D$5:$D$400="")+($E102&gt;=P_Baremes!$D$5:$D$400))&gt;0)*(((P_Baremes!$E$5:$E$400="")+($E102&lt;P_Baremes!$E$5:$E$400))&gt;0)*P_Baremes!$H$5:$H$400),SUMPRODUCT((P_Baremes!$A$5:$A$400=$A102)*(P_Baremes!$B$5:$B$400="MODALITE")*(P_Baremes!$C$5:$C$400=$E102)*P_Baremes!$H$5:$H$400))))</f>
        <v>0.0</v>
      </c>
      <c r="N102" s="5">
        <f>IF($A102="","",P_Criteres!J63)</f>
        <v/>
      </c>
      <c r="O102" s="5">
        <f>IF($A102="","",P_Criteres!D63)</f>
        <v/>
      </c>
      <c r="P102" s="34">
        <f>IF($A102="",0,IFERROR(INDEX(P_DomPoids,MATCH($B102,P_DomCodes,0)),0))</f>
        <v>0.0</v>
      </c>
      <c r="Q102" s="34">
        <f>P102*G102</f>
        <v>0.0</v>
      </c>
      <c r="R102" s="5">
        <f>IF(J102,IF(ISNUMBER(SEARCH(","&amp;D102&amp;",",","&amp;R101&amp;",")),R101,R101&amp;IF(R101="","",",")&amp;D102),R101)</f>
        <v/>
      </c>
      <c r="S102" s="5">
        <f>IF(I102,S101&amp;IF(S101="","","; ")&amp;"Lever la condition « "&amp;C102&amp;" » avant "&amp;SUBSTITUTE(LOWER(IF(P_Criteres!I63="","TIRAGE",P_Criteres!I63)),"etude","étude"),S101)</f>
        <v/>
      </c>
      <c r="T102" s="5">
        <f>IF(AND(J102,NOT(ISNUMBER(SEARCH(","&amp;D102&amp;",",","&amp;R101&amp;",")))),T101&amp;IF(T101="","",", ")&amp;IFERROR(INDEX(Saisie!$C$13:$C$92,MATCH(D102,In_Cles,0)),D102),T101)</f>
        <v/>
      </c>
      <c r="U102" s="48">
        <f>IF(OR($A102="",N(G102)&lt;=0),"",F102+ROW()/1000000)</f>
        <v/>
      </c>
      <c r="V102" s="5">
        <f>IF($A102="","",IF($E102="","(non renseignée)",IF($O102="QUAL",IFERROR(INDEX(P_Baremes!$F$5:$F$400,SUMPRODUCT(MAX((P_Baremes!$A$5:$A$400=$A102)*(P_Baremes!$B$5:$B$400="MODALITE")*(P_Baremes!$C$5:$C$400=$E102)*(ROW(P_Baremes!$A$5:$A$400)-4)))),$E102),$E102)))</f>
        <v/>
      </c>
    </row>
    <row r="103" spans="1:22">
      <c r="A103" s="5">
        <f>IF(P_Criteres!A64="","",P_Criteres!A64)</f>
        <v/>
      </c>
      <c r="B103" s="5">
        <f>IF($A103="","",P_Criteres!B64)</f>
        <v/>
      </c>
      <c r="C103" s="5">
        <f>IF($A103="","",P_Criteres!C64)</f>
        <v/>
      </c>
      <c r="D103" s="5">
        <f>IF($A103="","",P_Criteres!F64)</f>
        <v/>
      </c>
      <c r="E103" s="5">
        <f>IF($A103="","",IFERROR(INDEX(In_Retenue,MATCH($D103,In_Cles,0)),""))</f>
        <v/>
      </c>
      <c r="F103" s="34">
        <f>IF($A103="",0,ROUND(MIN(P_Scale,MAX(0,IF($L103=0,$K103,$M103))),2))</f>
        <v>0.0</v>
      </c>
      <c r="G103" s="34">
        <f>IF($A103="",0,P_Criteres!E64)</f>
        <v>0.0</v>
      </c>
      <c r="H103" s="34">
        <f>ROUND(F103*G103,2)</f>
        <v>0.0</v>
      </c>
      <c r="I103" s="5" t="b">
        <f>IF($A103="",FALSE,AND(P_Criteres!G64="Oui",ISNUMBER(P_Criteres!H64),F103&lt;=N(P_Criteres!H64)))</f>
        <v>0</v>
      </c>
      <c r="J103" s="5" t="b">
        <f>IF($A103="",FALSE,AND(OR(P_Criteres!G64="Oui",P_Criteres!K64="Oui"),$E103=""))</f>
        <v>0</v>
      </c>
      <c r="K103" s="34">
        <f t="array" ref="K103">IF($A103="",0,MIN(IF(P_Baremes!$A$5:$A$400=$A103,P_Baremes!$H$5:$H$400)))</f>
        <v>0.0</v>
      </c>
      <c r="L103" s="34">
        <f>IF($A103="",0,IF($O103="NUM",IF(ISNUMBER($E103),SUMPRODUCT((P_Baremes!$A$5:$A$400=$A103)*(P_Baremes!$B$5:$B$400="PLAGE")*(((P_Baremes!$D$5:$D$400="")+($E103&gt;=P_Baremes!$D$5:$D$400))&gt;0)*(((P_Baremes!$E$5:$E$400="")+($E103&lt;P_Baremes!$E$5:$E$400))&gt;0)),0),SUMPRODUCT((P_Baremes!$A$5:$A$400=$A103)*(P_Baremes!$B$5:$B$400="MODALITE")*(P_Baremes!$C$5:$C$400=$E103))))</f>
        <v>0.0</v>
      </c>
      <c r="M103" s="34">
        <f>IF($A103="",0,IF($L103=0,0,IF($O103="NUM",SUMPRODUCT((P_Baremes!$A$5:$A$400=$A103)*(P_Baremes!$B$5:$B$400="PLAGE")*(((P_Baremes!$D$5:$D$400="")+($E103&gt;=P_Baremes!$D$5:$D$400))&gt;0)*(((P_Baremes!$E$5:$E$400="")+($E103&lt;P_Baremes!$E$5:$E$400))&gt;0)*P_Baremes!$H$5:$H$400),SUMPRODUCT((P_Baremes!$A$5:$A$400=$A103)*(P_Baremes!$B$5:$B$400="MODALITE")*(P_Baremes!$C$5:$C$400=$E103)*P_Baremes!$H$5:$H$400))))</f>
        <v>0.0</v>
      </c>
      <c r="N103" s="5">
        <f>IF($A103="","",P_Criteres!J64)</f>
        <v/>
      </c>
      <c r="O103" s="5">
        <f>IF($A103="","",P_Criteres!D64)</f>
        <v/>
      </c>
      <c r="P103" s="34">
        <f>IF($A103="",0,IFERROR(INDEX(P_DomPoids,MATCH($B103,P_DomCodes,0)),0))</f>
        <v>0.0</v>
      </c>
      <c r="Q103" s="34">
        <f>P103*G103</f>
        <v>0.0</v>
      </c>
      <c r="R103" s="5">
        <f>IF(J103,IF(ISNUMBER(SEARCH(","&amp;D103&amp;",",","&amp;R102&amp;",")),R102,R102&amp;IF(R102="","",",")&amp;D103),R102)</f>
        <v/>
      </c>
      <c r="S103" s="5">
        <f>IF(I103,S102&amp;IF(S102="","","; ")&amp;"Lever la condition « "&amp;C103&amp;" » avant "&amp;SUBSTITUTE(LOWER(IF(P_Criteres!I64="","TIRAGE",P_Criteres!I64)),"etude","étude"),S102)</f>
        <v/>
      </c>
      <c r="T103" s="5">
        <f>IF(AND(J103,NOT(ISNUMBER(SEARCH(","&amp;D103&amp;",",","&amp;R102&amp;",")))),T102&amp;IF(T102="","",", ")&amp;IFERROR(INDEX(Saisie!$C$13:$C$92,MATCH(D103,In_Cles,0)),D103),T102)</f>
        <v/>
      </c>
      <c r="U103" s="48">
        <f>IF(OR($A103="",N(G103)&lt;=0),"",F103+ROW()/1000000)</f>
        <v/>
      </c>
      <c r="V103" s="5">
        <f>IF($A103="","",IF($E103="","(non renseignée)",IF($O103="QUAL",IFERROR(INDEX(P_Baremes!$F$5:$F$400,SUMPRODUCT(MAX((P_Baremes!$A$5:$A$400=$A103)*(P_Baremes!$B$5:$B$400="MODALITE")*(P_Baremes!$C$5:$C$400=$E103)*(ROW(P_Baremes!$A$5:$A$400)-4)))),$E103),$E103)))</f>
        <v/>
      </c>
    </row>
    <row r="106" spans="1:22">
      <c r="A106" s="13" t="s">
        <v>762</v>
      </c>
    </row>
    <row r="107" spans="1:22">
      <c r="A107" s="19" t="s">
        <v>18</v>
      </c>
      <c r="B107" s="19" t="s">
        <v>30</v>
      </c>
      <c r="C107" s="19" t="s">
        <v>380</v>
      </c>
      <c r="D107" s="19" t="s">
        <v>383</v>
      </c>
      <c r="E107" s="19" t="s">
        <v>531</v>
      </c>
      <c r="F107" s="19" t="s">
        <v>4</v>
      </c>
      <c r="G107" s="19" t="s">
        <v>384</v>
      </c>
      <c r="H107" s="19" t="s">
        <v>763</v>
      </c>
      <c r="I107" s="19" t="s">
        <v>764</v>
      </c>
      <c r="J107" s="19" t="s">
        <v>765</v>
      </c>
      <c r="K107" s="19" t="s">
        <v>385</v>
      </c>
      <c r="L107" s="19" t="s">
        <v>766</v>
      </c>
      <c r="M107" s="19" t="s">
        <v>756</v>
      </c>
      <c r="N107" s="19" t="s">
        <v>767</v>
      </c>
      <c r="O107" s="19" t="s">
        <v>758</v>
      </c>
      <c r="P107" s="19" t="s">
        <v>768</v>
      </c>
    </row>
    <row r="108" spans="1:22">
      <c r="A108" s="5" t="str">
        <f>IF(P_Alertes!A5="","",P_Alertes!A5)</f>
        <v>RF_ACQUEREURS_NON_FINANCES</v>
      </c>
      <c r="B108" s="5" t="str">
        <f>IF($A108="","",P_Alertes!B5)</f>
        <v>Financement acquéreur majoritairement non sécurisé</v>
      </c>
      <c r="C108" s="5" t="str">
        <f>IF($A108="","",P_Alertes!C5)</f>
        <v>MEDIUM</v>
      </c>
      <c r="D108" s="5" t="str">
        <f>IF($A108="","",P_Alertes!G5)</f>
        <v>isTrue</v>
      </c>
      <c r="E108" s="5" t="str">
        <f>IF($A108="","",P_Alertes!F5)</f>
        <v>buyers_financing_at_risk</v>
      </c>
      <c r="F108" s="5" t="b">
        <f>IF($A108="","",IFERROR(INDEX(In_Retenue,MATCH($E108,In_Cles,0)),""))</f>
        <v>0</v>
      </c>
      <c r="G108" s="5">
        <f>IF($A108="","",IF(P_Alertes!H5="","",P_Alertes!H5))</f>
        <v/>
      </c>
      <c r="H108" s="5" t="b">
        <f>IF($A108="",FALSE,IF(D108="isTrue",F108=TRUE,IF(D108="isFalse",F108=FALSE,IF(D108="eq",F108=G108,IF(D108="neq",F108&lt;&gt;G108,IF(D108="gt",AND(ISNUMBER(F108),ISNUMBER(G108),N(F108)&gt;N(G108)),IF(D108="gte",AND(ISNUMBER(F108),ISNUMBER(G108),N(F108)&gt;=N(G108)),IF(D108="lt",AND(ISNUMBER(F108),ISNUMBER(G108),N(F108)&lt;N(G108)),IF(D108="lte",AND(ISNUMBER(F108),ISNUMBER(G108),N(F108)&lt;=N(G108)),FALSE)))))))))</f>
        <v>0</v>
      </c>
      <c r="I108" s="5" t="b">
        <f>IF($A108="",FALSE,AND(NOT(H108),C108&lt;&gt;"BLOCKING",L108))</f>
        <v>0</v>
      </c>
      <c r="J108" s="34">
        <f>IF(OR(H108,I108),N(P_Alertes!D5),0)</f>
        <v>0.0</v>
      </c>
      <c r="K108" s="5" t="b">
        <f>IF($A108="",FALSE,AND(OR(H108,I108),P_Alertes!I5="Oui"))</f>
        <v>0</v>
      </c>
      <c r="L108" s="5" t="b">
        <f>IF($A108="",FALSE,AND(OR(D108="gt",D108="gte",D108="lt",D108="lte"),F108=""))</f>
        <v>0</v>
      </c>
      <c r="M108" s="5">
        <f>IF(L108,IF(ISNUMBER(SEARCH(","&amp;E108&amp;",",","&amp;R103&amp;",")),R103,R103&amp;IF(R103="","",",")&amp;E108),R103)</f>
        <v/>
      </c>
      <c r="N108" s="5">
        <f>IF(OR(H108,I108),""&amp;IF(""="","",", ")&amp;A108,"")</f>
        <v/>
      </c>
      <c r="O108" s="5">
        <f>IF(AND(L108,NOT(ISNUMBER(SEARCH(","&amp;E108&amp;",",","&amp;R103&amp;",")))),T103&amp;IF(T103="","",", ")&amp;IFERROR(INDEX(Saisie!$C$13:$C$92,MATCH(E108,In_Cles,0)),E108),T103)</f>
        <v/>
      </c>
      <c r="P108" s="5">
        <f>IF(OR(H108,I108),""&amp;IF(""="","","; ")&amp;B108&amp;IF(I108," (donnée absente)",""),"")</f>
        <v/>
      </c>
    </row>
    <row r="109" spans="1:22">
      <c r="A109" s="5" t="str">
        <f>IF(P_Alertes!A6="","",P_Alertes!A6)</f>
        <v>RF_AUTORISATION_TIRAGE</v>
      </c>
      <c r="B109" s="5" t="str">
        <f>IF($A109="","",P_Alertes!B6)</f>
        <v>Autorisation indispensable aux travaux non levée</v>
      </c>
      <c r="C109" s="5" t="str">
        <f>IF($A109="","",P_Alertes!C6)</f>
        <v>HIGH</v>
      </c>
      <c r="D109" s="5" t="str">
        <f>IF($A109="","",P_Alertes!G6)</f>
        <v>isTrue</v>
      </c>
      <c r="E109" s="5" t="str">
        <f>IF($A109="","",P_Alertes!F6)</f>
        <v>works_authorization_blocked</v>
      </c>
      <c r="F109" s="5" t="b">
        <f>IF($A109="","",IFERROR(INDEX(In_Retenue,MATCH($E109,In_Cles,0)),""))</f>
        <v>0</v>
      </c>
      <c r="G109" s="5">
        <f>IF($A109="","",IF(P_Alertes!H6="","",P_Alertes!H6))</f>
        <v/>
      </c>
      <c r="H109" s="5" t="b">
        <f>IF($A109="",FALSE,IF(D109="isTrue",F109=TRUE,IF(D109="isFalse",F109=FALSE,IF(D109="eq",F109=G109,IF(D109="neq",F109&lt;&gt;G109,IF(D109="gt",AND(ISNUMBER(F109),ISNUMBER(G109),N(F109)&gt;N(G109)),IF(D109="gte",AND(ISNUMBER(F109),ISNUMBER(G109),N(F109)&gt;=N(G109)),IF(D109="lt",AND(ISNUMBER(F109),ISNUMBER(G109),N(F109)&lt;N(G109)),IF(D109="lte",AND(ISNUMBER(F109),ISNUMBER(G109),N(F109)&lt;=N(G109)),FALSE)))))))))</f>
        <v>0</v>
      </c>
      <c r="I109" s="5" t="b">
        <f>IF($A109="",FALSE,AND(NOT(H109),C109&lt;&gt;"BLOCKING",L109))</f>
        <v>0</v>
      </c>
      <c r="J109" s="34">
        <f>IF(OR(H109,I109),N(P_Alertes!D6),0)</f>
        <v>0.0</v>
      </c>
      <c r="K109" s="5" t="b">
        <f>IF($A109="",FALSE,AND(OR(H109,I109),P_Alertes!I6="Oui"))</f>
        <v>0</v>
      </c>
      <c r="L109" s="5" t="b">
        <f>IF($A109="",FALSE,AND(OR(D109="gt",D109="gte",D109="lt",D109="lte"),F109=""))</f>
        <v>0</v>
      </c>
      <c r="M109" s="5">
        <f>IF(L109,IF(ISNUMBER(SEARCH(","&amp;E109&amp;",",","&amp;M108&amp;",")),M108,M108&amp;IF(M108="","",",")&amp;E109),M108)</f>
        <v/>
      </c>
      <c r="N109" s="5">
        <f>IF(OR(H109,I109),N108&amp;IF(N108="","",", ")&amp;A109,N108)</f>
        <v/>
      </c>
      <c r="O109" s="5">
        <f>IF(AND(L109,NOT(ISNUMBER(SEARCH(","&amp;E109&amp;",",","&amp;M108&amp;",")))),O108&amp;IF(O108="","",", ")&amp;IFERROR(INDEX(Saisie!$C$13:$C$92,MATCH(E109,In_Cles,0)),E109),O108)</f>
        <v/>
      </c>
      <c r="P109" s="5">
        <f>IF(OR(H109,I109),P108&amp;IF(P108="","","; ")&amp;B109&amp;IF(I109," (donnée absente)",""),P108)</f>
        <v/>
      </c>
    </row>
    <row r="110" spans="1:22">
      <c r="A110" s="5" t="str">
        <f>IF(P_Alertes!A7="","",P_Alertes!A7)</f>
        <v>RF_CASH_LT_ECH</v>
      </c>
      <c r="B110" s="5" t="str">
        <f>IF($A110="","",P_Alertes!B7)</f>
        <v>Cash coverage &lt; 1,0x</v>
      </c>
      <c r="C110" s="5" t="str">
        <f>IF($A110="","",P_Alertes!C7)</f>
        <v>HIGH</v>
      </c>
      <c r="D110" s="5" t="str">
        <f>IF($A110="","",P_Alertes!G7)</f>
        <v>lt</v>
      </c>
      <c r="E110" s="5" t="str">
        <f>IF($A110="","",P_Alertes!F7)</f>
        <v>cash_coverage</v>
      </c>
      <c r="F110" s="5">
        <f>IF($A110="","",IFERROR(INDEX(In_Retenue,MATCH($E110,In_Cles,0)),""))</f>
        <v>0.99</v>
      </c>
      <c r="G110" s="5">
        <f>IF($A110="","",IF(P_Alertes!H7="","",P_Alertes!H7))</f>
        <v>1.0</v>
      </c>
      <c r="H110" s="5" t="b">
        <f>IF($A110="",FALSE,IF(D110="isTrue",F110=TRUE,IF(D110="isFalse",F110=FALSE,IF(D110="eq",F110=G110,IF(D110="neq",F110&lt;&gt;G110,IF(D110="gt",AND(ISNUMBER(F110),ISNUMBER(G110),N(F110)&gt;N(G110)),IF(D110="gte",AND(ISNUMBER(F110),ISNUMBER(G110),N(F110)&gt;=N(G110)),IF(D110="lt",AND(ISNUMBER(F110),ISNUMBER(G110),N(F110)&lt;N(G110)),IF(D110="lte",AND(ISNUMBER(F110),ISNUMBER(G110),N(F110)&lt;=N(G110)),FALSE)))))))))</f>
        <v>1</v>
      </c>
      <c r="I110" s="5" t="b">
        <f>IF($A110="",FALSE,AND(NOT(H110),C110&lt;&gt;"BLOCKING",L110))</f>
        <v>0</v>
      </c>
      <c r="J110" s="34">
        <f>IF(OR(H110,I110),N(P_Alertes!D7),0)</f>
        <v>25.0</v>
      </c>
      <c r="K110" s="5" t="b">
        <f>IF($A110="",FALSE,AND(OR(H110,I110),P_Alertes!I7="Oui"))</f>
        <v>0</v>
      </c>
      <c r="L110" s="5" t="b">
        <f>IF($A110="",FALSE,AND(OR(D110="gt",D110="gte",D110="lt",D110="lte"),F110=""))</f>
        <v>0</v>
      </c>
      <c r="M110" s="5">
        <f>IF(L110,IF(ISNUMBER(SEARCH(","&amp;E110&amp;",",","&amp;M109&amp;",")),M109,M109&amp;IF(M109="","",",")&amp;E110),M109)</f>
        <v/>
      </c>
      <c r="N110" s="5" t="str">
        <f>IF(OR(H110,I110),N109&amp;IF(N109="","",", ")&amp;A110,N109)</f>
        <v>RF_CASH_LT_ECH</v>
      </c>
      <c r="O110" s="5">
        <f>IF(AND(L110,NOT(ISNUMBER(SEARCH(","&amp;E110&amp;",",","&amp;M109&amp;",")))),O109&amp;IF(O109="","",", ")&amp;IFERROR(INDEX(Saisie!$C$13:$C$92,MATCH(E110,In_Cles,0)),E110),O109)</f>
        <v/>
      </c>
      <c r="P110" s="5" t="str">
        <f>IF(OR(H110,I110),P109&amp;IF(P109="","","; ")&amp;B110&amp;IF(I110," (donnée absente)",""),P109)</f>
        <v>Cash coverage &lt; 1,0x</v>
      </c>
    </row>
    <row r="111" spans="1:22">
      <c r="A111" s="5" t="str">
        <f>IF(P_Alertes!A8="","",P_Alertes!A8)</f>
        <v>RF_COMPOSANTE_SANS_PRENEUR</v>
      </c>
      <c r="B111" s="5" t="str">
        <f>IF($A111="","",P_Alertes!B8)</f>
        <v>Composante commerciale ou hôtelière sans preneur engagé</v>
      </c>
      <c r="C111" s="5" t="str">
        <f>IF($A111="","",P_Alertes!C8)</f>
        <v>MEDIUM</v>
      </c>
      <c r="D111" s="5" t="str">
        <f>IF($A111="","",P_Alertes!G8)</f>
        <v>isTrue</v>
      </c>
      <c r="E111" s="5" t="str">
        <f>IF($A111="","",P_Alertes!F8)</f>
        <v>component_exit_unsecured</v>
      </c>
      <c r="F111" s="5" t="b">
        <f>IF($A111="","",IFERROR(INDEX(In_Retenue,MATCH($E111,In_Cles,0)),""))</f>
        <v>0</v>
      </c>
      <c r="G111" s="5">
        <f>IF($A111="","",IF(P_Alertes!H8="","",P_Alertes!H8))</f>
        <v/>
      </c>
      <c r="H111" s="5" t="b">
        <f>IF($A111="",FALSE,IF(D111="isTrue",F111=TRUE,IF(D111="isFalse",F111=FALSE,IF(D111="eq",F111=G111,IF(D111="neq",F111&lt;&gt;G111,IF(D111="gt",AND(ISNUMBER(F111),ISNUMBER(G111),N(F111)&gt;N(G111)),IF(D111="gte",AND(ISNUMBER(F111),ISNUMBER(G111),N(F111)&gt;=N(G111)),IF(D111="lt",AND(ISNUMBER(F111),ISNUMBER(G111),N(F111)&lt;N(G111)),IF(D111="lte",AND(ISNUMBER(F111),ISNUMBER(G111),N(F111)&lt;=N(G111)),FALSE)))))))))</f>
        <v>0</v>
      </c>
      <c r="I111" s="5" t="b">
        <f>IF($A111="",FALSE,AND(NOT(H111),C111&lt;&gt;"BLOCKING",L111))</f>
        <v>0</v>
      </c>
      <c r="J111" s="34">
        <f>IF(OR(H111,I111),N(P_Alertes!D8),0)</f>
        <v>0.0</v>
      </c>
      <c r="K111" s="5" t="b">
        <f>IF($A111="",FALSE,AND(OR(H111,I111),P_Alertes!I8="Oui"))</f>
        <v>0</v>
      </c>
      <c r="L111" s="5" t="b">
        <f>IF($A111="",FALSE,AND(OR(D111="gt",D111="gte",D111="lt",D111="lte"),F111=""))</f>
        <v>0</v>
      </c>
      <c r="M111" s="5">
        <f>IF(L111,IF(ISNUMBER(SEARCH(","&amp;E111&amp;",",","&amp;M110&amp;",")),M110,M110&amp;IF(M110="","",",")&amp;E111),M110)</f>
        <v/>
      </c>
      <c r="N111" s="5" t="str">
        <f>IF(OR(H111,I111),N110&amp;IF(N110="","",", ")&amp;A111,N110)</f>
        <v>RF_CASH_LT_ECH</v>
      </c>
      <c r="O111" s="5">
        <f>IF(AND(L111,NOT(ISNUMBER(SEARCH(","&amp;E111&amp;",",","&amp;M110&amp;",")))),O110&amp;IF(O110="","",", ")&amp;IFERROR(INDEX(Saisie!$C$13:$C$92,MATCH(E111,In_Cles,0)),E111),O110)</f>
        <v/>
      </c>
      <c r="P111" s="5" t="str">
        <f>IF(OR(H111,I111),P110&amp;IF(P110="","","; ")&amp;B111&amp;IF(I111," (donnée absente)",""),P110)</f>
        <v>Cash coverage &lt; 1,0x</v>
      </c>
    </row>
    <row r="112" spans="1:22">
      <c r="A112" s="5" t="str">
        <f>IF(P_Alertes!A9="","",P_Alertes!A9)</f>
        <v>RF_DIVISION_RISQUES</v>
      </c>
      <c r="B112" s="5" t="str">
        <f>IF($A112="","",P_Alertes!B9)</f>
        <v>Limite de division des risques dépassée</v>
      </c>
      <c r="C112" s="5" t="str">
        <f>IF($A112="","",P_Alertes!C9)</f>
        <v>MEDIUM</v>
      </c>
      <c r="D112" s="5" t="str">
        <f>IF($A112="","",P_Alertes!G9)</f>
        <v>isTrue</v>
      </c>
      <c r="E112" s="5" t="str">
        <f>IF($A112="","",P_Alertes!F9)</f>
        <v>division_limit_breach</v>
      </c>
      <c r="F112" s="5" t="b">
        <f>IF($A112="","",IFERROR(INDEX(In_Retenue,MATCH($E112,In_Cles,0)),""))</f>
        <v>0</v>
      </c>
      <c r="G112" s="5">
        <f>IF($A112="","",IF(P_Alertes!H9="","",P_Alertes!H9))</f>
        <v/>
      </c>
      <c r="H112" s="5" t="b">
        <f>IF($A112="",FALSE,IF(D112="isTrue",F112=TRUE,IF(D112="isFalse",F112=FALSE,IF(D112="eq",F112=G112,IF(D112="neq",F112&lt;&gt;G112,IF(D112="gt",AND(ISNUMBER(F112),ISNUMBER(G112),N(F112)&gt;N(G112)),IF(D112="gte",AND(ISNUMBER(F112),ISNUMBER(G112),N(F112)&gt;=N(G112)),IF(D112="lt",AND(ISNUMBER(F112),ISNUMBER(G112),N(F112)&lt;N(G112)),IF(D112="lte",AND(ISNUMBER(F112),ISNUMBER(G112),N(F112)&lt;=N(G112)),FALSE)))))))))</f>
        <v>0</v>
      </c>
      <c r="I112" s="5" t="b">
        <f>IF($A112="",FALSE,AND(NOT(H112),C112&lt;&gt;"BLOCKING",L112))</f>
        <v>0</v>
      </c>
      <c r="J112" s="34">
        <f>IF(OR(H112,I112),N(P_Alertes!D9),0)</f>
        <v>0.0</v>
      </c>
      <c r="K112" s="5" t="b">
        <f>IF($A112="",FALSE,AND(OR(H112,I112),P_Alertes!I9="Oui"))</f>
        <v>0</v>
      </c>
      <c r="L112" s="5" t="b">
        <f>IF($A112="",FALSE,AND(OR(D112="gt",D112="gte",D112="lt",D112="lte"),F112=""))</f>
        <v>0</v>
      </c>
      <c r="M112" s="5">
        <f>IF(L112,IF(ISNUMBER(SEARCH(","&amp;E112&amp;",",","&amp;M111&amp;",")),M111,M111&amp;IF(M111="","",",")&amp;E112),M111)</f>
        <v/>
      </c>
      <c r="N112" s="5" t="str">
        <f>IF(OR(H112,I112),N111&amp;IF(N111="","",", ")&amp;A112,N111)</f>
        <v>RF_CASH_LT_ECH</v>
      </c>
      <c r="O112" s="5">
        <f>IF(AND(L112,NOT(ISNUMBER(SEARCH(","&amp;E112&amp;",",","&amp;M111&amp;",")))),O111&amp;IF(O111="","",", ")&amp;IFERROR(INDEX(Saisie!$C$13:$C$92,MATCH(E112,In_Cles,0)),E112),O111)</f>
        <v/>
      </c>
      <c r="P112" s="5" t="str">
        <f>IF(OR(H112,I112),P111&amp;IF(P111="","","; ")&amp;B112&amp;IF(I112," (donnée absente)",""),P111)</f>
        <v>Cash coverage &lt; 1,0x</v>
      </c>
    </row>
    <row r="113" spans="1:16">
      <c r="A113" s="5" t="str">
        <f>IF(P_Alertes!A10="","",P_Alertes!A10)</f>
        <v>RF_EQUIPEMENT_RECEPTION</v>
      </c>
      <c r="B113" s="5" t="str">
        <f>IF($A113="","",P_Alertes!B10)</f>
        <v>Équipement exigé en retard (conditionne la réception)</v>
      </c>
      <c r="C113" s="5" t="str">
        <f>IF($A113="","",P_Alertes!C10)</f>
        <v>HIGH</v>
      </c>
      <c r="D113" s="5" t="str">
        <f>IF($A113="","",P_Alertes!G10)</f>
        <v>isTrue</v>
      </c>
      <c r="E113" s="5" t="str">
        <f>IF($A113="","",P_Alertes!F10)</f>
        <v>equipment_delivery_at_risk</v>
      </c>
      <c r="F113" s="5" t="b">
        <f>IF($A113="","",IFERROR(INDEX(In_Retenue,MATCH($E113,In_Cles,0)),""))</f>
        <v>0</v>
      </c>
      <c r="G113" s="5">
        <f>IF($A113="","",IF(P_Alertes!H10="","",P_Alertes!H10))</f>
        <v/>
      </c>
      <c r="H113" s="5" t="b">
        <f>IF($A113="",FALSE,IF(D113="isTrue",F113=TRUE,IF(D113="isFalse",F113=FALSE,IF(D113="eq",F113=G113,IF(D113="neq",F113&lt;&gt;G113,IF(D113="gt",AND(ISNUMBER(F113),ISNUMBER(G113),N(F113)&gt;N(G113)),IF(D113="gte",AND(ISNUMBER(F113),ISNUMBER(G113),N(F113)&gt;=N(G113)),IF(D113="lt",AND(ISNUMBER(F113),ISNUMBER(G113),N(F113)&lt;N(G113)),IF(D113="lte",AND(ISNUMBER(F113),ISNUMBER(G113),N(F113)&lt;=N(G113)),FALSE)))))))))</f>
        <v>0</v>
      </c>
      <c r="I113" s="5" t="b">
        <f>IF($A113="",FALSE,AND(NOT(H113),C113&lt;&gt;"BLOCKING",L113))</f>
        <v>0</v>
      </c>
      <c r="J113" s="34">
        <f>IF(OR(H113,I113),N(P_Alertes!D10),0)</f>
        <v>0.0</v>
      </c>
      <c r="K113" s="5" t="b">
        <f>IF($A113="",FALSE,AND(OR(H113,I113),P_Alertes!I10="Oui"))</f>
        <v>0</v>
      </c>
      <c r="L113" s="5" t="b">
        <f>IF($A113="",FALSE,AND(OR(D113="gt",D113="gte",D113="lt",D113="lte"),F113=""))</f>
        <v>0</v>
      </c>
      <c r="M113" s="5">
        <f>IF(L113,IF(ISNUMBER(SEARCH(","&amp;E113&amp;",",","&amp;M112&amp;",")),M112,M112&amp;IF(M112="","",",")&amp;E113),M112)</f>
        <v/>
      </c>
      <c r="N113" s="5" t="str">
        <f>IF(OR(H113,I113),N112&amp;IF(N112="","",", ")&amp;A113,N112)</f>
        <v>RF_CASH_LT_ECH</v>
      </c>
      <c r="O113" s="5">
        <f>IF(AND(L113,NOT(ISNUMBER(SEARCH(","&amp;E113&amp;",",","&amp;M112&amp;",")))),O112&amp;IF(O112="","",", ")&amp;IFERROR(INDEX(Saisie!$C$13:$C$92,MATCH(E113,In_Cles,0)),E113),O112)</f>
        <v/>
      </c>
      <c r="P113" s="5" t="str">
        <f>IF(OR(H113,I113),P112&amp;IF(P112="","","; ")&amp;B113&amp;IF(I113," (donnée absente)",""),P112)</f>
        <v>Cash coverage &lt; 1,0x</v>
      </c>
    </row>
    <row r="114" spans="1:16">
      <c r="A114" s="5" t="str">
        <f>IF(P_Alertes!A11="","",P_Alertes!A11)</f>
        <v>RF_FP_NEG</v>
      </c>
      <c r="B114" s="5" t="str">
        <f>IF($A114="","",P_Alertes!B11)</f>
        <v>Fonds propres négatifs</v>
      </c>
      <c r="C114" s="5" t="str">
        <f>IF($A114="","",P_Alertes!C11)</f>
        <v>HIGH</v>
      </c>
      <c r="D114" s="5" t="str">
        <f>IF($A114="","",P_Alertes!G11)</f>
        <v>isTrue</v>
      </c>
      <c r="E114" s="5" t="str">
        <f>IF($A114="","",P_Alertes!F11)</f>
        <v>equity_negative</v>
      </c>
      <c r="F114" s="5" t="b">
        <f>IF($A114="","",IFERROR(INDEX(In_Retenue,MATCH($E114,In_Cles,0)),""))</f>
        <v>0</v>
      </c>
      <c r="G114" s="5">
        <f>IF($A114="","",IF(P_Alertes!H11="","",P_Alertes!H11))</f>
        <v/>
      </c>
      <c r="H114" s="5" t="b">
        <f>IF($A114="",FALSE,IF(D114="isTrue",F114=TRUE,IF(D114="isFalse",F114=FALSE,IF(D114="eq",F114=G114,IF(D114="neq",F114&lt;&gt;G114,IF(D114="gt",AND(ISNUMBER(F114),ISNUMBER(G114),N(F114)&gt;N(G114)),IF(D114="gte",AND(ISNUMBER(F114),ISNUMBER(G114),N(F114)&gt;=N(G114)),IF(D114="lt",AND(ISNUMBER(F114),ISNUMBER(G114),N(F114)&lt;N(G114)),IF(D114="lte",AND(ISNUMBER(F114),ISNUMBER(G114),N(F114)&lt;=N(G114)),FALSE)))))))))</f>
        <v>0</v>
      </c>
      <c r="I114" s="5" t="b">
        <f>IF($A114="",FALSE,AND(NOT(H114),C114&lt;&gt;"BLOCKING",L114))</f>
        <v>0</v>
      </c>
      <c r="J114" s="34">
        <f>IF(OR(H114,I114),N(P_Alertes!D11),0)</f>
        <v>0.0</v>
      </c>
      <c r="K114" s="5" t="b">
        <f>IF($A114="",FALSE,AND(OR(H114,I114),P_Alertes!I11="Oui"))</f>
        <v>0</v>
      </c>
      <c r="L114" s="5" t="b">
        <f>IF($A114="",FALSE,AND(OR(D114="gt",D114="gte",D114="lt",D114="lte"),F114=""))</f>
        <v>0</v>
      </c>
      <c r="M114" s="5">
        <f>IF(L114,IF(ISNUMBER(SEARCH(","&amp;E114&amp;",",","&amp;M113&amp;",")),M113,M113&amp;IF(M113="","",",")&amp;E114),M113)</f>
        <v/>
      </c>
      <c r="N114" s="5" t="str">
        <f>IF(OR(H114,I114),N113&amp;IF(N113="","",", ")&amp;A114,N113)</f>
        <v>RF_CASH_LT_ECH</v>
      </c>
      <c r="O114" s="5">
        <f>IF(AND(L114,NOT(ISNUMBER(SEARCH(","&amp;E114&amp;",",","&amp;M113&amp;",")))),O113&amp;IF(O113="","",", ")&amp;IFERROR(INDEX(Saisie!$C$13:$C$92,MATCH(E114,In_Cles,0)),E114),O113)</f>
        <v/>
      </c>
      <c r="P114" s="5" t="str">
        <f>IF(OR(H114,I114),P113&amp;IF(P113="","","; ")&amp;B114&amp;IF(I114," (donnée absente)",""),P113)</f>
        <v>Cash coverage &lt; 1,0x</v>
      </c>
    </row>
    <row r="115" spans="1:16">
      <c r="A115" s="5" t="str">
        <f>IF(P_Alertes!A12="","",P_Alertes!A12)</f>
        <v>RF_IMPASSE_PERSIST</v>
      </c>
      <c r="B115" s="5" t="str">
        <f>IF($A115="","",P_Alertes!B12)</f>
        <v>Impasse de trésorerie persistante</v>
      </c>
      <c r="C115" s="5" t="str">
        <f>IF($A115="","",P_Alertes!C12)</f>
        <v>HIGH</v>
      </c>
      <c r="D115" s="5" t="str">
        <f>IF($A115="","",P_Alertes!G12)</f>
        <v>isTrue</v>
      </c>
      <c r="E115" s="5" t="str">
        <f>IF($A115="","",P_Alertes!F12)</f>
        <v>funding_gap_persistent</v>
      </c>
      <c r="F115" s="5" t="b">
        <f>IF($A115="","",IFERROR(INDEX(In_Retenue,MATCH($E115,In_Cles,0)),""))</f>
        <v>0</v>
      </c>
      <c r="G115" s="5">
        <f>IF($A115="","",IF(P_Alertes!H12="","",P_Alertes!H12))</f>
        <v/>
      </c>
      <c r="H115" s="5" t="b">
        <f>IF($A115="",FALSE,IF(D115="isTrue",F115=TRUE,IF(D115="isFalse",F115=FALSE,IF(D115="eq",F115=G115,IF(D115="neq",F115&lt;&gt;G115,IF(D115="gt",AND(ISNUMBER(F115),ISNUMBER(G115),N(F115)&gt;N(G115)),IF(D115="gte",AND(ISNUMBER(F115),ISNUMBER(G115),N(F115)&gt;=N(G115)),IF(D115="lt",AND(ISNUMBER(F115),ISNUMBER(G115),N(F115)&lt;N(G115)),IF(D115="lte",AND(ISNUMBER(F115),ISNUMBER(G115),N(F115)&lt;=N(G115)),FALSE)))))))))</f>
        <v>0</v>
      </c>
      <c r="I115" s="5" t="b">
        <f>IF($A115="",FALSE,AND(NOT(H115),C115&lt;&gt;"BLOCKING",L115))</f>
        <v>0</v>
      </c>
      <c r="J115" s="34">
        <f>IF(OR(H115,I115),N(P_Alertes!D12),0)</f>
        <v>0.0</v>
      </c>
      <c r="K115" s="5" t="b">
        <f>IF($A115="",FALSE,AND(OR(H115,I115),P_Alertes!I12="Oui"))</f>
        <v>0</v>
      </c>
      <c r="L115" s="5" t="b">
        <f>IF($A115="",FALSE,AND(OR(D115="gt",D115="gte",D115="lt",D115="lte"),F115=""))</f>
        <v>0</v>
      </c>
      <c r="M115" s="5">
        <f>IF(L115,IF(ISNUMBER(SEARCH(","&amp;E115&amp;",",","&amp;M114&amp;",")),M114,M114&amp;IF(M114="","",",")&amp;E115),M114)</f>
        <v/>
      </c>
      <c r="N115" s="5" t="str">
        <f>IF(OR(H115,I115),N114&amp;IF(N114="","",", ")&amp;A115,N114)</f>
        <v>RF_CASH_LT_ECH</v>
      </c>
      <c r="O115" s="5">
        <f>IF(AND(L115,NOT(ISNUMBER(SEARCH(","&amp;E115&amp;",",","&amp;M114&amp;",")))),O114&amp;IF(O114="","",", ")&amp;IFERROR(INDEX(Saisie!$C$13:$C$92,MATCH(E115,In_Cles,0)),E115),O114)</f>
        <v/>
      </c>
      <c r="P115" s="5" t="str">
        <f>IF(OR(H115,I115),P114&amp;IF(P114="","","; ")&amp;B115&amp;IF(I115," (donnée absente)",""),P114)</f>
        <v>Cash coverage &lt; 1,0x</v>
      </c>
    </row>
    <row r="116" spans="1:16">
      <c r="A116" s="5" t="str">
        <f>IF(P_Alertes!A13="","",P_Alertes!A13)</f>
        <v>RF_IMPAYE_90J</v>
      </c>
      <c r="B116" s="5" t="str">
        <f>IF($A116="","",P_Alertes!B13)</f>
        <v>Impayé ≥ 90 jours (souffrance automatique)</v>
      </c>
      <c r="C116" s="5" t="str">
        <f>IF($A116="","",P_Alertes!C13)</f>
        <v>BLOCKING</v>
      </c>
      <c r="D116" s="5" t="str">
        <f>IF($A116="","",P_Alertes!G13)</f>
        <v>gte</v>
      </c>
      <c r="E116" s="5" t="str">
        <f>IF($A116="","",P_Alertes!F13)</f>
        <v>dpd_days</v>
      </c>
      <c r="F116" s="5">
        <f>IF($A116="","",IFERROR(INDEX(In_Retenue,MATCH($E116,In_Cles,0)),""))</f>
        <v>0.0</v>
      </c>
      <c r="G116" s="5">
        <f>IF($A116="","",IF(P_Alertes!H13="","",P_Alertes!H13))</f>
        <v>90.0</v>
      </c>
      <c r="H116" s="5" t="b">
        <f>IF($A116="",FALSE,IF(D116="isTrue",F116=TRUE,IF(D116="isFalse",F116=FALSE,IF(D116="eq",F116=G116,IF(D116="neq",F116&lt;&gt;G116,IF(D116="gt",AND(ISNUMBER(F116),ISNUMBER(G116),N(F116)&gt;N(G116)),IF(D116="gte",AND(ISNUMBER(F116),ISNUMBER(G116),N(F116)&gt;=N(G116)),IF(D116="lt",AND(ISNUMBER(F116),ISNUMBER(G116),N(F116)&lt;N(G116)),IF(D116="lte",AND(ISNUMBER(F116),ISNUMBER(G116),N(F116)&lt;=N(G116)),FALSE)))))))))</f>
        <v>0</v>
      </c>
      <c r="I116" s="5" t="b">
        <f>IF($A116="",FALSE,AND(NOT(H116),C116&lt;&gt;"BLOCKING",L116))</f>
        <v>0</v>
      </c>
      <c r="J116" s="34">
        <f>IF(OR(H116,I116),N(P_Alertes!D13),0)</f>
        <v>0.0</v>
      </c>
      <c r="K116" s="5" t="b">
        <f>IF($A116="",FALSE,AND(OR(H116,I116),P_Alertes!I13="Oui"))</f>
        <v>0</v>
      </c>
      <c r="L116" s="5" t="b">
        <f>IF($A116="",FALSE,AND(OR(D116="gt",D116="gte",D116="lt",D116="lte"),F116=""))</f>
        <v>0</v>
      </c>
      <c r="M116" s="5">
        <f>IF(L116,IF(ISNUMBER(SEARCH(","&amp;E116&amp;",",","&amp;M115&amp;",")),M115,M115&amp;IF(M115="","",",")&amp;E116),M115)</f>
        <v/>
      </c>
      <c r="N116" s="5" t="str">
        <f>IF(OR(H116,I116),N115&amp;IF(N115="","",", ")&amp;A116,N115)</f>
        <v>RF_CASH_LT_ECH</v>
      </c>
      <c r="O116" s="5">
        <f>IF(AND(L116,NOT(ISNUMBER(SEARCH(","&amp;E116&amp;",",","&amp;M115&amp;",")))),O115&amp;IF(O115="","",", ")&amp;IFERROR(INDEX(Saisie!$C$13:$C$92,MATCH(E116,In_Cles,0)),E116),O115)</f>
        <v/>
      </c>
      <c r="P116" s="5" t="str">
        <f>IF(OR(H116,I116),P115&amp;IF(P115="","","; ")&amp;B116&amp;IF(I116," (donnée absente)",""),P115)</f>
        <v>Cash coverage &lt; 1,0x</v>
      </c>
    </row>
    <row r="117" spans="1:16">
      <c r="A117" s="5" t="str">
        <f>IF(P_Alertes!A14="","",P_Alertes!A14)</f>
        <v>RF_LITIGE</v>
      </c>
      <c r="B117" s="5" t="str">
        <f>IF($A117="","",P_Alertes!B14)</f>
        <v>Action en justice / contentieux (CTX)</v>
      </c>
      <c r="C117" s="5" t="str">
        <f>IF($A117="","",P_Alertes!C14)</f>
        <v>BLOCKING</v>
      </c>
      <c r="D117" s="5" t="str">
        <f>IF($A117="","",P_Alertes!G14)</f>
        <v>eq</v>
      </c>
      <c r="E117" s="5" t="str">
        <f>IF($A117="","",P_Alertes!F14)</f>
        <v>legal_exposure</v>
      </c>
      <c r="F117" s="5" t="str">
        <f>IF($A117="","",IFERROR(INDEX(In_Retenue,MATCH($E117,In_Cles,0)),""))</f>
        <v>clear</v>
      </c>
      <c r="G117" s="5" t="str">
        <f>IF($A117="","",IF(P_Alertes!H14="","",P_Alertes!H14))</f>
        <v>litigation</v>
      </c>
      <c r="H117" s="5" t="b">
        <f>IF($A117="",FALSE,IF(D117="isTrue",F117=TRUE,IF(D117="isFalse",F117=FALSE,IF(D117="eq",F117=G117,IF(D117="neq",F117&lt;&gt;G117,IF(D117="gt",AND(ISNUMBER(F117),ISNUMBER(G117),N(F117)&gt;N(G117)),IF(D117="gte",AND(ISNUMBER(F117),ISNUMBER(G117),N(F117)&gt;=N(G117)),IF(D117="lt",AND(ISNUMBER(F117),ISNUMBER(G117),N(F117)&lt;N(G117)),IF(D117="lte",AND(ISNUMBER(F117),ISNUMBER(G117),N(F117)&lt;=N(G117)),FALSE)))))))))</f>
        <v>0</v>
      </c>
      <c r="I117" s="5" t="b">
        <f>IF($A117="",FALSE,AND(NOT(H117),C117&lt;&gt;"BLOCKING",L117))</f>
        <v>0</v>
      </c>
      <c r="J117" s="34">
        <f>IF(OR(H117,I117),N(P_Alertes!D14),0)</f>
        <v>0.0</v>
      </c>
      <c r="K117" s="5" t="b">
        <f>IF($A117="",FALSE,AND(OR(H117,I117),P_Alertes!I14="Oui"))</f>
        <v>0</v>
      </c>
      <c r="L117" s="5" t="b">
        <f>IF($A117="",FALSE,AND(OR(D117="gt",D117="gte",D117="lt",D117="lte"),F117=""))</f>
        <v>0</v>
      </c>
      <c r="M117" s="5">
        <f>IF(L117,IF(ISNUMBER(SEARCH(","&amp;E117&amp;",",","&amp;M116&amp;",")),M116,M116&amp;IF(M116="","",",")&amp;E117),M116)</f>
        <v/>
      </c>
      <c r="N117" s="5" t="str">
        <f>IF(OR(H117,I117),N116&amp;IF(N116="","",", ")&amp;A117,N116)</f>
        <v>RF_CASH_LT_ECH</v>
      </c>
      <c r="O117" s="5">
        <f>IF(AND(L117,NOT(ISNUMBER(SEARCH(","&amp;E117&amp;",",","&amp;M116&amp;",")))),O116&amp;IF(O116="","",", ")&amp;IFERROR(INDEX(Saisie!$C$13:$C$92,MATCH(E117,In_Cles,0)),E117),O116)</f>
        <v/>
      </c>
      <c r="P117" s="5" t="str">
        <f>IF(OR(H117,I117),P116&amp;IF(P116="","","; ")&amp;B117&amp;IF(I117," (donnée absente)",""),P116)</f>
        <v>Cash coverage &lt; 1,0x</v>
      </c>
    </row>
    <row r="118" spans="1:16">
      <c r="A118" s="5" t="str">
        <f>IF(P_Alertes!A15="","",P_Alertes!A15)</f>
        <v>RF_MAINLEVEE_SOUS_TARIFEE</v>
      </c>
      <c r="B118" s="5" t="str">
        <f>IF($A118="","",P_Alertes!B15)</f>
        <v>Prix de mainlevée sous-tarifé</v>
      </c>
      <c r="C118" s="5" t="str">
        <f>IF($A118="","",P_Alertes!C15)</f>
        <v>HIGH</v>
      </c>
      <c r="D118" s="5" t="str">
        <f>IF($A118="","",P_Alertes!G15)</f>
        <v>isTrue</v>
      </c>
      <c r="E118" s="5" t="str">
        <f>IF($A118="","",P_Alertes!F15)</f>
        <v>release_underpriced</v>
      </c>
      <c r="F118" s="5" t="b">
        <f>IF($A118="","",IFERROR(INDEX(In_Retenue,MATCH($E118,In_Cles,0)),""))</f>
        <v>0</v>
      </c>
      <c r="G118" s="5">
        <f>IF($A118="","",IF(P_Alertes!H15="","",P_Alertes!H15))</f>
        <v/>
      </c>
      <c r="H118" s="5" t="b">
        <f>IF($A118="",FALSE,IF(D118="isTrue",F118=TRUE,IF(D118="isFalse",F118=FALSE,IF(D118="eq",F118=G118,IF(D118="neq",F118&lt;&gt;G118,IF(D118="gt",AND(ISNUMBER(F118),ISNUMBER(G118),N(F118)&gt;N(G118)),IF(D118="gte",AND(ISNUMBER(F118),ISNUMBER(G118),N(F118)&gt;=N(G118)),IF(D118="lt",AND(ISNUMBER(F118),ISNUMBER(G118),N(F118)&lt;N(G118)),IF(D118="lte",AND(ISNUMBER(F118),ISNUMBER(G118),N(F118)&lt;=N(G118)),FALSE)))))))))</f>
        <v>0</v>
      </c>
      <c r="I118" s="5" t="b">
        <f>IF($A118="",FALSE,AND(NOT(H118),C118&lt;&gt;"BLOCKING",L118))</f>
        <v>0</v>
      </c>
      <c r="J118" s="34">
        <f>IF(OR(H118,I118),N(P_Alertes!D15),0)</f>
        <v>0.0</v>
      </c>
      <c r="K118" s="5" t="b">
        <f>IF($A118="",FALSE,AND(OR(H118,I118),P_Alertes!I15="Oui"))</f>
        <v>0</v>
      </c>
      <c r="L118" s="5" t="b">
        <f>IF($A118="",FALSE,AND(OR(D118="gt",D118="gte",D118="lt",D118="lte"),F118=""))</f>
        <v>0</v>
      </c>
      <c r="M118" s="5">
        <f>IF(L118,IF(ISNUMBER(SEARCH(","&amp;E118&amp;",",","&amp;M117&amp;",")),M117,M117&amp;IF(M117="","",",")&amp;E118),M117)</f>
        <v/>
      </c>
      <c r="N118" s="5" t="str">
        <f>IF(OR(H118,I118),N117&amp;IF(N117="","",", ")&amp;A118,N117)</f>
        <v>RF_CASH_LT_ECH</v>
      </c>
      <c r="O118" s="5">
        <f>IF(AND(L118,NOT(ISNUMBER(SEARCH(","&amp;E118&amp;",",","&amp;M117&amp;",")))),O117&amp;IF(O117="","",", ")&amp;IFERROR(INDEX(Saisie!$C$13:$C$92,MATCH(E118,In_Cles,0)),E118),O117)</f>
        <v/>
      </c>
      <c r="P118" s="5" t="str">
        <f>IF(OR(H118,I118),P117&amp;IF(P117="","","; ")&amp;B118&amp;IF(I118," (donnée absente)",""),P117)</f>
        <v>Cash coverage &lt; 1,0x</v>
      </c>
    </row>
    <row r="119" spans="1:16">
      <c r="A119" s="5" t="str">
        <f>IF(P_Alertes!A16="","",P_Alertes!A16)</f>
        <v>RF_NON_1ER_RANG</v>
      </c>
      <c r="B119" s="5" t="str">
        <f>IF($A119="","",P_Alertes!B16)</f>
        <v>Garantie non 1er rang</v>
      </c>
      <c r="C119" s="5" t="str">
        <f>IF($A119="","",P_Alertes!C16)</f>
        <v>MEDIUM</v>
      </c>
      <c r="D119" s="5" t="str">
        <f>IF($A119="","",P_Alertes!G16)</f>
        <v>eq</v>
      </c>
      <c r="E119" s="5" t="str">
        <f>IF($A119="","",P_Alertes!F16)</f>
        <v>first_rank</v>
      </c>
      <c r="F119" s="5" t="str">
        <f>IF($A119="","",IFERROR(INDEX(In_Retenue,MATCH($E119,In_Cles,0)),""))</f>
        <v>oui</v>
      </c>
      <c r="G119" s="5" t="str">
        <f>IF($A119="","",IF(P_Alertes!H16="","",P_Alertes!H16))</f>
        <v>non</v>
      </c>
      <c r="H119" s="5" t="b">
        <f>IF($A119="",FALSE,IF(D119="isTrue",F119=TRUE,IF(D119="isFalse",F119=FALSE,IF(D119="eq",F119=G119,IF(D119="neq",F119&lt;&gt;G119,IF(D119="gt",AND(ISNUMBER(F119),ISNUMBER(G119),N(F119)&gt;N(G119)),IF(D119="gte",AND(ISNUMBER(F119),ISNUMBER(G119),N(F119)&gt;=N(G119)),IF(D119="lt",AND(ISNUMBER(F119),ISNUMBER(G119),N(F119)&lt;N(G119)),IF(D119="lte",AND(ISNUMBER(F119),ISNUMBER(G119),N(F119)&lt;=N(G119)),FALSE)))))))))</f>
        <v>0</v>
      </c>
      <c r="I119" s="5" t="b">
        <f>IF($A119="",FALSE,AND(NOT(H119),C119&lt;&gt;"BLOCKING",L119))</f>
        <v>0</v>
      </c>
      <c r="J119" s="34">
        <f>IF(OR(H119,I119),N(P_Alertes!D16),0)</f>
        <v>0.0</v>
      </c>
      <c r="K119" s="5" t="b">
        <f>IF($A119="",FALSE,AND(OR(H119,I119),P_Alertes!I16="Oui"))</f>
        <v>0</v>
      </c>
      <c r="L119" s="5" t="b">
        <f>IF($A119="",FALSE,AND(OR(D119="gt",D119="gte",D119="lt",D119="lte"),F119=""))</f>
        <v>0</v>
      </c>
      <c r="M119" s="5">
        <f>IF(L119,IF(ISNUMBER(SEARCH(","&amp;E119&amp;",",","&amp;M118&amp;",")),M118,M118&amp;IF(M118="","",",")&amp;E119),M118)</f>
        <v/>
      </c>
      <c r="N119" s="5" t="str">
        <f>IF(OR(H119,I119),N118&amp;IF(N118="","",", ")&amp;A119,N118)</f>
        <v>RF_CASH_LT_ECH</v>
      </c>
      <c r="O119" s="5">
        <f>IF(AND(L119,NOT(ISNUMBER(SEARCH(","&amp;E119&amp;",",","&amp;M118&amp;",")))),O118&amp;IF(O118="","",", ")&amp;IFERROR(INDEX(Saisie!$C$13:$C$92,MATCH(E119,In_Cles,0)),E119),O118)</f>
        <v/>
      </c>
      <c r="P119" s="5" t="str">
        <f>IF(OR(H119,I119),P118&amp;IF(P118="","","; ")&amp;B119&amp;IF(I119," (donnée absente)",""),P118)</f>
        <v>Cash coverage &lt; 1,0x</v>
      </c>
    </row>
    <row r="120" spans="1:16">
      <c r="A120" s="5" t="str">
        <f>IF(P_Alertes!A17="","",P_Alertes!A17)</f>
        <v>RF_PLAN_TIRAGE_RETARD</v>
      </c>
      <c r="B120" s="5" t="str">
        <f>IF($A120="","",P_Alertes!B17)</f>
        <v>Plan de tirage en retard sur le calendrier</v>
      </c>
      <c r="C120" s="5" t="str">
        <f>IF($A120="","",P_Alertes!C17)</f>
        <v>MEDIUM</v>
      </c>
      <c r="D120" s="5" t="str">
        <f>IF($A120="","",P_Alertes!G17)</f>
        <v>isTrue</v>
      </c>
      <c r="E120" s="5" t="str">
        <f>IF($A120="","",P_Alertes!F17)</f>
        <v>drawdown_schedule_late</v>
      </c>
      <c r="F120" s="5" t="b">
        <f>IF($A120="","",IFERROR(INDEX(In_Retenue,MATCH($E120,In_Cles,0)),""))</f>
        <v>0</v>
      </c>
      <c r="G120" s="5">
        <f>IF($A120="","",IF(P_Alertes!H17="","",P_Alertes!H17))</f>
        <v/>
      </c>
      <c r="H120" s="5" t="b">
        <f>IF($A120="",FALSE,IF(D120="isTrue",F120=TRUE,IF(D120="isFalse",F120=FALSE,IF(D120="eq",F120=G120,IF(D120="neq",F120&lt;&gt;G120,IF(D120="gt",AND(ISNUMBER(F120),ISNUMBER(G120),N(F120)&gt;N(G120)),IF(D120="gte",AND(ISNUMBER(F120),ISNUMBER(G120),N(F120)&gt;=N(G120)),IF(D120="lt",AND(ISNUMBER(F120),ISNUMBER(G120),N(F120)&lt;N(G120)),IF(D120="lte",AND(ISNUMBER(F120),ISNUMBER(G120),N(F120)&lt;=N(G120)),FALSE)))))))))</f>
        <v>0</v>
      </c>
      <c r="I120" s="5" t="b">
        <f>IF($A120="",FALSE,AND(NOT(H120),C120&lt;&gt;"BLOCKING",L120))</f>
        <v>0</v>
      </c>
      <c r="J120" s="34">
        <f>IF(OR(H120,I120),N(P_Alertes!D17),0)</f>
        <v>0.0</v>
      </c>
      <c r="K120" s="5" t="b">
        <f>IF($A120="",FALSE,AND(OR(H120,I120),P_Alertes!I17="Oui"))</f>
        <v>0</v>
      </c>
      <c r="L120" s="5" t="b">
        <f>IF($A120="",FALSE,AND(OR(D120="gt",D120="gte",D120="lt",D120="lte"),F120=""))</f>
        <v>0</v>
      </c>
      <c r="M120" s="5">
        <f>IF(L120,IF(ISNUMBER(SEARCH(","&amp;E120&amp;",",","&amp;M119&amp;",")),M119,M119&amp;IF(M119="","",",")&amp;E120),M119)</f>
        <v/>
      </c>
      <c r="N120" s="5" t="str">
        <f>IF(OR(H120,I120),N119&amp;IF(N119="","",", ")&amp;A120,N119)</f>
        <v>RF_CASH_LT_ECH</v>
      </c>
      <c r="O120" s="5">
        <f>IF(AND(L120,NOT(ISNUMBER(SEARCH(","&amp;E120&amp;",",","&amp;M119&amp;",")))),O119&amp;IF(O119="","",", ")&amp;IFERROR(INDEX(Saisie!$C$13:$C$92,MATCH(E120,In_Cles,0)),E120),O119)</f>
        <v/>
      </c>
      <c r="P120" s="5" t="str">
        <f>IF(OR(H120,I120),P119&amp;IF(P119="","","; ")&amp;B120&amp;IF(I120," (donnée absente)",""),P119)</f>
        <v>Cash coverage &lt; 1,0x</v>
      </c>
    </row>
    <row r="121" spans="1:16">
      <c r="A121" s="5" t="str">
        <f>IF(P_Alertes!A18="","",P_Alertes!A18)</f>
        <v>RF_PROJET_ARRET_12M</v>
      </c>
      <c r="B121" s="5" t="str">
        <f>IF($A121="","",P_Alertes!B18)</f>
        <v>Projet à l'arrêt ≥ 12 mois (souffrance automatique)</v>
      </c>
      <c r="C121" s="5" t="str">
        <f>IF($A121="","",P_Alertes!C18)</f>
        <v>BLOCKING</v>
      </c>
      <c r="D121" s="5" t="str">
        <f>IF($A121="","",P_Alertes!G18)</f>
        <v>gte</v>
      </c>
      <c r="E121" s="5" t="str">
        <f>IF($A121="","",P_Alertes!F18)</f>
        <v>project_stopped_months</v>
      </c>
      <c r="F121" s="5">
        <f>IF($A121="","",IFERROR(INDEX(In_Retenue,MATCH($E121,In_Cles,0)),""))</f>
        <v>0.0</v>
      </c>
      <c r="G121" s="5">
        <f>IF($A121="","",IF(P_Alertes!H18="","",P_Alertes!H18))</f>
        <v>12.0</v>
      </c>
      <c r="H121" s="5" t="b">
        <f>IF($A121="",FALSE,IF(D121="isTrue",F121=TRUE,IF(D121="isFalse",F121=FALSE,IF(D121="eq",F121=G121,IF(D121="neq",F121&lt;&gt;G121,IF(D121="gt",AND(ISNUMBER(F121),ISNUMBER(G121),N(F121)&gt;N(G121)),IF(D121="gte",AND(ISNUMBER(F121),ISNUMBER(G121),N(F121)&gt;=N(G121)),IF(D121="lt",AND(ISNUMBER(F121),ISNUMBER(G121),N(F121)&lt;N(G121)),IF(D121="lte",AND(ISNUMBER(F121),ISNUMBER(G121),N(F121)&lt;=N(G121)),FALSE)))))))))</f>
        <v>0</v>
      </c>
      <c r="I121" s="5" t="b">
        <f>IF($A121="",FALSE,AND(NOT(H121),C121&lt;&gt;"BLOCKING",L121))</f>
        <v>0</v>
      </c>
      <c r="J121" s="34">
        <f>IF(OR(H121,I121),N(P_Alertes!D18),0)</f>
        <v>0.0</v>
      </c>
      <c r="K121" s="5" t="b">
        <f>IF($A121="",FALSE,AND(OR(H121,I121),P_Alertes!I18="Oui"))</f>
        <v>0</v>
      </c>
      <c r="L121" s="5" t="b">
        <f>IF($A121="",FALSE,AND(OR(D121="gt",D121="gte",D121="lt",D121="lte"),F121=""))</f>
        <v>0</v>
      </c>
      <c r="M121" s="5">
        <f>IF(L121,IF(ISNUMBER(SEARCH(","&amp;E121&amp;",",","&amp;M120&amp;",")),M120,M120&amp;IF(M120="","",",")&amp;E121),M120)</f>
        <v/>
      </c>
      <c r="N121" s="5" t="str">
        <f>IF(OR(H121,I121),N120&amp;IF(N120="","",", ")&amp;A121,N120)</f>
        <v>RF_CASH_LT_ECH</v>
      </c>
      <c r="O121" s="5">
        <f>IF(AND(L121,NOT(ISNUMBER(SEARCH(","&amp;E121&amp;",",","&amp;M120&amp;",")))),O120&amp;IF(O120="","",", ")&amp;IFERROR(INDEX(Saisie!$C$13:$C$92,MATCH(E121,In_Cles,0)),E121),O120)</f>
        <v/>
      </c>
      <c r="P121" s="5" t="str">
        <f>IF(OR(H121,I121),P120&amp;IF(P120="","","; ")&amp;B121&amp;IF(I121," (donnée absente)",""),P120)</f>
        <v>Cash coverage &lt; 1,0x</v>
      </c>
    </row>
    <row r="122" spans="1:16">
      <c r="A122" s="5" t="str">
        <f>IF(P_Alertes!A19="","",P_Alertes!A19)</f>
        <v>RF_RESTRUCT</v>
      </c>
      <c r="B122" s="5" t="str">
        <f>IF($A122="","",P_Alertes!B19)</f>
        <v>Première restructuration</v>
      </c>
      <c r="C122" s="5" t="str">
        <f>IF($A122="","",P_Alertes!C19)</f>
        <v>MEDIUM</v>
      </c>
      <c r="D122" s="5" t="str">
        <f>IF($A122="","",P_Alertes!G19)</f>
        <v>eq</v>
      </c>
      <c r="E122" s="5" t="str">
        <f>IF($A122="","",P_Alertes!F19)</f>
        <v>restructured</v>
      </c>
      <c r="F122" s="5" t="str">
        <f>IF($A122="","",IFERROR(INDEX(In_Retenue,MATCH($E122,In_Cles,0)),""))</f>
        <v>no</v>
      </c>
      <c r="G122" s="5" t="str">
        <f>IF($A122="","",IF(P_Alertes!H19="","",P_Alertes!H19))</f>
        <v>yes</v>
      </c>
      <c r="H122" s="5" t="b">
        <f>IF($A122="",FALSE,IF(D122="isTrue",F122=TRUE,IF(D122="isFalse",F122=FALSE,IF(D122="eq",F122=G122,IF(D122="neq",F122&lt;&gt;G122,IF(D122="gt",AND(ISNUMBER(F122),ISNUMBER(G122),N(F122)&gt;N(G122)),IF(D122="gte",AND(ISNUMBER(F122),ISNUMBER(G122),N(F122)&gt;=N(G122)),IF(D122="lt",AND(ISNUMBER(F122),ISNUMBER(G122),N(F122)&lt;N(G122)),IF(D122="lte",AND(ISNUMBER(F122),ISNUMBER(G122),N(F122)&lt;=N(G122)),FALSE)))))))))</f>
        <v>0</v>
      </c>
      <c r="I122" s="5" t="b">
        <f>IF($A122="",FALSE,AND(NOT(H122),C122&lt;&gt;"BLOCKING",L122))</f>
        <v>0</v>
      </c>
      <c r="J122" s="34">
        <f>IF(OR(H122,I122),N(P_Alertes!D19),0)</f>
        <v>0.0</v>
      </c>
      <c r="K122" s="5" t="b">
        <f>IF($A122="",FALSE,AND(OR(H122,I122),P_Alertes!I19="Oui"))</f>
        <v>0</v>
      </c>
      <c r="L122" s="5" t="b">
        <f>IF($A122="",FALSE,AND(OR(D122="gt",D122="gte",D122="lt",D122="lte"),F122=""))</f>
        <v>0</v>
      </c>
      <c r="M122" s="5">
        <f>IF(L122,IF(ISNUMBER(SEARCH(","&amp;E122&amp;",",","&amp;M121&amp;",")),M121,M121&amp;IF(M121="","",",")&amp;E122),M121)</f>
        <v/>
      </c>
      <c r="N122" s="5" t="str">
        <f>IF(OR(H122,I122),N121&amp;IF(N121="","",", ")&amp;A122,N121)</f>
        <v>RF_CASH_LT_ECH</v>
      </c>
      <c r="O122" s="5">
        <f>IF(AND(L122,NOT(ISNUMBER(SEARCH(","&amp;E122&amp;",",","&amp;M121&amp;",")))),O121&amp;IF(O121="","",", ")&amp;IFERROR(INDEX(Saisie!$C$13:$C$92,MATCH(E122,In_Cles,0)),E122),O121)</f>
        <v/>
      </c>
      <c r="P122" s="5" t="str">
        <f>IF(OR(H122,I122),P121&amp;IF(P121="","","; ")&amp;B122&amp;IF(I122," (donnée absente)",""),P121)</f>
        <v>Cash coverage &lt; 1,0x</v>
      </c>
    </row>
    <row r="123" spans="1:16">
      <c r="A123" s="5" t="str">
        <f>IF(P_Alertes!A20="","",P_Alertes!A20)</f>
        <v>RF_RETARD_6M</v>
      </c>
      <c r="B123" s="5" t="str">
        <f>IF($A123="","",P_Alertes!B20)</f>
        <v>Retard chantier ≥ 6 mois</v>
      </c>
      <c r="C123" s="5" t="str">
        <f>IF($A123="","",P_Alertes!C20)</f>
        <v>HIGH</v>
      </c>
      <c r="D123" s="5" t="str">
        <f>IF($A123="","",P_Alertes!G20)</f>
        <v>gte</v>
      </c>
      <c r="E123" s="5" t="str">
        <f>IF($A123="","",P_Alertes!F20)</f>
        <v>construction_delay_months</v>
      </c>
      <c r="F123" s="5">
        <f>IF($A123="","",IFERROR(INDEX(In_Retenue,MATCH($E123,In_Cles,0)),""))</f>
        <v>0.0</v>
      </c>
      <c r="G123" s="5">
        <f>IF($A123="","",IF(P_Alertes!H20="","",P_Alertes!H20))</f>
        <v>6.0</v>
      </c>
      <c r="H123" s="5" t="b">
        <f>IF($A123="",FALSE,IF(D123="isTrue",F123=TRUE,IF(D123="isFalse",F123=FALSE,IF(D123="eq",F123=G123,IF(D123="neq",F123&lt;&gt;G123,IF(D123="gt",AND(ISNUMBER(F123),ISNUMBER(G123),N(F123)&gt;N(G123)),IF(D123="gte",AND(ISNUMBER(F123),ISNUMBER(G123),N(F123)&gt;=N(G123)),IF(D123="lt",AND(ISNUMBER(F123),ISNUMBER(G123),N(F123)&lt;N(G123)),IF(D123="lte",AND(ISNUMBER(F123),ISNUMBER(G123),N(F123)&lt;=N(G123)),FALSE)))))))))</f>
        <v>0</v>
      </c>
      <c r="I123" s="5" t="b">
        <f>IF($A123="",FALSE,AND(NOT(H123),C123&lt;&gt;"BLOCKING",L123))</f>
        <v>0</v>
      </c>
      <c r="J123" s="34">
        <f>IF(OR(H123,I123),N(P_Alertes!D20),0)</f>
        <v>0.0</v>
      </c>
      <c r="K123" s="5" t="b">
        <f>IF($A123="",FALSE,AND(OR(H123,I123),P_Alertes!I20="Oui"))</f>
        <v>0</v>
      </c>
      <c r="L123" s="5" t="b">
        <f>IF($A123="",FALSE,AND(OR(D123="gt",D123="gte",D123="lt",D123="lte"),F123=""))</f>
        <v>0</v>
      </c>
      <c r="M123" s="5">
        <f>IF(L123,IF(ISNUMBER(SEARCH(","&amp;E123&amp;",",","&amp;M122&amp;",")),M122,M122&amp;IF(M122="","",",")&amp;E123),M122)</f>
        <v/>
      </c>
      <c r="N123" s="5" t="str">
        <f>IF(OR(H123,I123),N122&amp;IF(N122="","",", ")&amp;A123,N122)</f>
        <v>RF_CASH_LT_ECH</v>
      </c>
      <c r="O123" s="5">
        <f>IF(AND(L123,NOT(ISNUMBER(SEARCH(","&amp;E123&amp;",",","&amp;M122&amp;",")))),O122&amp;IF(O122="","",", ")&amp;IFERROR(INDEX(Saisie!$C$13:$C$92,MATCH(E123,In_Cles,0)),E123),O122)</f>
        <v/>
      </c>
      <c r="P123" s="5" t="str">
        <f>IF(OR(H123,I123),P122&amp;IF(P122="","","; ")&amp;B123&amp;IF(I123," (donnée absente)",""),P122)</f>
        <v>Cash coverage &lt; 1,0x</v>
      </c>
    </row>
    <row r="124" spans="1:16">
      <c r="A124" s="5" t="str">
        <f>IF(P_Alertes!A21="","",P_Alertes!A21)</f>
        <v>RF_TIRAGE_AVANCE</v>
      </c>
      <c r="B124" s="5" t="str">
        <f>IF($A124="","",P_Alertes!B21)</f>
        <v>Déblocages en avance sur l'avancement des travaux</v>
      </c>
      <c r="C124" s="5" t="str">
        <f>IF($A124="","",P_Alertes!C21)</f>
        <v>HIGH</v>
      </c>
      <c r="D124" s="5" t="str">
        <f>IF($A124="","",P_Alertes!G21)</f>
        <v>isTrue</v>
      </c>
      <c r="E124" s="5" t="str">
        <f>IF($A124="","",P_Alertes!F21)</f>
        <v>drawdown_ahead_of_works</v>
      </c>
      <c r="F124" s="5" t="b">
        <f>IF($A124="","",IFERROR(INDEX(In_Retenue,MATCH($E124,In_Cles,0)),""))</f>
        <v>0</v>
      </c>
      <c r="G124" s="5">
        <f>IF($A124="","",IF(P_Alertes!H21="","",P_Alertes!H21))</f>
        <v/>
      </c>
      <c r="H124" s="5" t="b">
        <f>IF($A124="",FALSE,IF(D124="isTrue",F124=TRUE,IF(D124="isFalse",F124=FALSE,IF(D124="eq",F124=G124,IF(D124="neq",F124&lt;&gt;G124,IF(D124="gt",AND(ISNUMBER(F124),ISNUMBER(G124),N(F124)&gt;N(G124)),IF(D124="gte",AND(ISNUMBER(F124),ISNUMBER(G124),N(F124)&gt;=N(G124)),IF(D124="lt",AND(ISNUMBER(F124),ISNUMBER(G124),N(F124)&lt;N(G124)),IF(D124="lte",AND(ISNUMBER(F124),ISNUMBER(G124),N(F124)&lt;=N(G124)),FALSE)))))))))</f>
        <v>0</v>
      </c>
      <c r="I124" s="5" t="b">
        <f>IF($A124="",FALSE,AND(NOT(H124),C124&lt;&gt;"BLOCKING",L124))</f>
        <v>0</v>
      </c>
      <c r="J124" s="34">
        <f>IF(OR(H124,I124),N(P_Alertes!D21),0)</f>
        <v>0.0</v>
      </c>
      <c r="K124" s="5" t="b">
        <f>IF($A124="",FALSE,AND(OR(H124,I124),P_Alertes!I21="Oui"))</f>
        <v>0</v>
      </c>
      <c r="L124" s="5" t="b">
        <f>IF($A124="",FALSE,AND(OR(D124="gt",D124="gte",D124="lt",D124="lte"),F124=""))</f>
        <v>0</v>
      </c>
      <c r="M124" s="5">
        <f>IF(L124,IF(ISNUMBER(SEARCH(","&amp;E124&amp;",",","&amp;M123&amp;",")),M123,M123&amp;IF(M123="","",",")&amp;E124),M123)</f>
        <v/>
      </c>
      <c r="N124" s="5" t="str">
        <f>IF(OR(H124,I124),N123&amp;IF(N123="","",", ")&amp;A124,N123)</f>
        <v>RF_CASH_LT_ECH</v>
      </c>
      <c r="O124" s="5">
        <f>IF(AND(L124,NOT(ISNUMBER(SEARCH(","&amp;E124&amp;",",","&amp;M123&amp;",")))),O123&amp;IF(O123="","",", ")&amp;IFERROR(INDEX(Saisie!$C$13:$C$92,MATCH(E124,In_Cles,0)),E124),O123)</f>
        <v/>
      </c>
      <c r="P124" s="5" t="str">
        <f>IF(OR(H124,I124),P123&amp;IF(P123="","","; ")&amp;B124&amp;IF(I124," (donnée absente)",""),P123)</f>
        <v>Cash coverage &lt; 1,0x</v>
      </c>
    </row>
    <row r="125" spans="1:16">
      <c r="A125" s="5" t="str">
        <f>IF(P_Alertes!A22="","",P_Alertes!A22)</f>
        <v>RF_TRANCHE_DEPENDANTE</v>
      </c>
      <c r="B125" s="5" t="str">
        <f>IF($A125="","",P_Alertes!B22)</f>
        <v>Tranche financée dépendante d'ouvrages communs non financés</v>
      </c>
      <c r="C125" s="5" t="str">
        <f>IF($A125="","",P_Alertes!C22)</f>
        <v>HIGH</v>
      </c>
      <c r="D125" s="5" t="str">
        <f>IF($A125="","",P_Alertes!G22)</f>
        <v>eq</v>
      </c>
      <c r="E125" s="5" t="str">
        <f>IF($A125="","",P_Alertes!F22)</f>
        <v>tranche_dependency</v>
      </c>
      <c r="F125" s="5" t="str">
        <f>IF($A125="","",IFERROR(INDEX(In_Retenue,MATCH($E125,In_Cles,0)),""))</f>
        <v>programme_entier</v>
      </c>
      <c r="G125" s="5" t="str">
        <f>IF($A125="","",IF(P_Alertes!H22="","",P_Alertes!H22))</f>
        <v>dependante_non_financee</v>
      </c>
      <c r="H125" s="5" t="b">
        <f>IF($A125="",FALSE,IF(D125="isTrue",F125=TRUE,IF(D125="isFalse",F125=FALSE,IF(D125="eq",F125=G125,IF(D125="neq",F125&lt;&gt;G125,IF(D125="gt",AND(ISNUMBER(F125),ISNUMBER(G125),N(F125)&gt;N(G125)),IF(D125="gte",AND(ISNUMBER(F125),ISNUMBER(G125),N(F125)&gt;=N(G125)),IF(D125="lt",AND(ISNUMBER(F125),ISNUMBER(G125),N(F125)&lt;N(G125)),IF(D125="lte",AND(ISNUMBER(F125),ISNUMBER(G125),N(F125)&lt;=N(G125)),FALSE)))))))))</f>
        <v>0</v>
      </c>
      <c r="I125" s="5" t="b">
        <f>IF($A125="",FALSE,AND(NOT(H125),C125&lt;&gt;"BLOCKING",L125))</f>
        <v>0</v>
      </c>
      <c r="J125" s="34">
        <f>IF(OR(H125,I125),N(P_Alertes!D22),0)</f>
        <v>0.0</v>
      </c>
      <c r="K125" s="5" t="b">
        <f>IF($A125="",FALSE,AND(OR(H125,I125),P_Alertes!I22="Oui"))</f>
        <v>0</v>
      </c>
      <c r="L125" s="5" t="b">
        <f>IF($A125="",FALSE,AND(OR(D125="gt",D125="gte",D125="lt",D125="lte"),F125=""))</f>
        <v>0</v>
      </c>
      <c r="M125" s="5">
        <f>IF(L125,IF(ISNUMBER(SEARCH(","&amp;E125&amp;",",","&amp;M124&amp;",")),M124,M124&amp;IF(M124="","",",")&amp;E125),M124)</f>
        <v/>
      </c>
      <c r="N125" s="5" t="str">
        <f>IF(OR(H125,I125),N124&amp;IF(N124="","",", ")&amp;A125,N124)</f>
        <v>RF_CASH_LT_ECH</v>
      </c>
      <c r="O125" s="5">
        <f>IF(AND(L125,NOT(ISNUMBER(SEARCH(","&amp;E125&amp;",",","&amp;M124&amp;",")))),O124&amp;IF(O124="","",", ")&amp;IFERROR(INDEX(Saisie!$C$13:$C$92,MATCH(E125,In_Cles,0)),E125),O124)</f>
        <v/>
      </c>
      <c r="P125" s="5" t="str">
        <f>IF(OR(H125,I125),P124&amp;IF(P124="","","; ")&amp;B125&amp;IF(I125," (donnée absente)",""),P124)</f>
        <v>Cash coverage &lt; 1,0x</v>
      </c>
    </row>
    <row r="126" spans="1:16">
      <c r="A126" s="5">
        <f>IF(P_Alertes!A23="","",P_Alertes!A23)</f>
        <v/>
      </c>
      <c r="B126" s="5">
        <f>IF($A126="","",P_Alertes!B23)</f>
        <v/>
      </c>
      <c r="C126" s="5">
        <f>IF($A126="","",P_Alertes!C23)</f>
        <v/>
      </c>
      <c r="D126" s="5">
        <f>IF($A126="","",P_Alertes!G23)</f>
        <v/>
      </c>
      <c r="E126" s="5">
        <f>IF($A126="","",P_Alertes!F23)</f>
        <v/>
      </c>
      <c r="F126" s="5">
        <f>IF($A126="","",IFERROR(INDEX(In_Retenue,MATCH($E126,In_Cles,0)),""))</f>
        <v/>
      </c>
      <c r="G126" s="5">
        <f>IF($A126="","",IF(P_Alertes!H23="","",P_Alertes!H23))</f>
        <v/>
      </c>
      <c r="H126" s="5" t="b">
        <f>IF($A126="",FALSE,IF(D126="isTrue",F126=TRUE,IF(D126="isFalse",F126=FALSE,IF(D126="eq",F126=G126,IF(D126="neq",F126&lt;&gt;G126,IF(D126="gt",AND(ISNUMBER(F126),ISNUMBER(G126),N(F126)&gt;N(G126)),IF(D126="gte",AND(ISNUMBER(F126),ISNUMBER(G126),N(F126)&gt;=N(G126)),IF(D126="lt",AND(ISNUMBER(F126),ISNUMBER(G126),N(F126)&lt;N(G126)),IF(D126="lte",AND(ISNUMBER(F126),ISNUMBER(G126),N(F126)&lt;=N(G126)),FALSE)))))))))</f>
        <v>0</v>
      </c>
      <c r="I126" s="5" t="b">
        <f>IF($A126="",FALSE,AND(NOT(H126),C126&lt;&gt;"BLOCKING",L126))</f>
        <v>0</v>
      </c>
      <c r="J126" s="34">
        <f>IF(OR(H126,I126),N(P_Alertes!D23),0)</f>
        <v>0.0</v>
      </c>
      <c r="K126" s="5" t="b">
        <f>IF($A126="",FALSE,AND(OR(H126,I126),P_Alertes!I23="Oui"))</f>
        <v>0</v>
      </c>
      <c r="L126" s="5" t="b">
        <f>IF($A126="",FALSE,AND(OR(D126="gt",D126="gte",D126="lt",D126="lte"),F126=""))</f>
        <v>0</v>
      </c>
      <c r="M126" s="5">
        <f>IF(L126,IF(ISNUMBER(SEARCH(","&amp;E126&amp;",",","&amp;M125&amp;",")),M125,M125&amp;IF(M125="","",",")&amp;E126),M125)</f>
        <v/>
      </c>
      <c r="N126" s="5" t="str">
        <f>IF(OR(H126,I126),N125&amp;IF(N125="","",", ")&amp;A126,N125)</f>
        <v>RF_CASH_LT_ECH</v>
      </c>
      <c r="O126" s="5">
        <f>IF(AND(L126,NOT(ISNUMBER(SEARCH(","&amp;E126&amp;",",","&amp;M125&amp;",")))),O125&amp;IF(O125="","",", ")&amp;IFERROR(INDEX(Saisie!$C$13:$C$92,MATCH(E126,In_Cles,0)),E126),O125)</f>
        <v/>
      </c>
      <c r="P126" s="5" t="str">
        <f>IF(OR(H126,I126),P125&amp;IF(P125="","","; ")&amp;B126&amp;IF(I126," (donnée absente)",""),P125)</f>
        <v>Cash coverage &lt; 1,0x</v>
      </c>
    </row>
    <row r="127" spans="1:16">
      <c r="A127" s="5">
        <f>IF(P_Alertes!A24="","",P_Alertes!A24)</f>
        <v/>
      </c>
      <c r="B127" s="5">
        <f>IF($A127="","",P_Alertes!B24)</f>
        <v/>
      </c>
      <c r="C127" s="5">
        <f>IF($A127="","",P_Alertes!C24)</f>
        <v/>
      </c>
      <c r="D127" s="5">
        <f>IF($A127="","",P_Alertes!G24)</f>
        <v/>
      </c>
      <c r="E127" s="5">
        <f>IF($A127="","",P_Alertes!F24)</f>
        <v/>
      </c>
      <c r="F127" s="5">
        <f>IF($A127="","",IFERROR(INDEX(In_Retenue,MATCH($E127,In_Cles,0)),""))</f>
        <v/>
      </c>
      <c r="G127" s="5">
        <f>IF($A127="","",IF(P_Alertes!H24="","",P_Alertes!H24))</f>
        <v/>
      </c>
      <c r="H127" s="5" t="b">
        <f>IF($A127="",FALSE,IF(D127="isTrue",F127=TRUE,IF(D127="isFalse",F127=FALSE,IF(D127="eq",F127=G127,IF(D127="neq",F127&lt;&gt;G127,IF(D127="gt",AND(ISNUMBER(F127),ISNUMBER(G127),N(F127)&gt;N(G127)),IF(D127="gte",AND(ISNUMBER(F127),ISNUMBER(G127),N(F127)&gt;=N(G127)),IF(D127="lt",AND(ISNUMBER(F127),ISNUMBER(G127),N(F127)&lt;N(G127)),IF(D127="lte",AND(ISNUMBER(F127),ISNUMBER(G127),N(F127)&lt;=N(G127)),FALSE)))))))))</f>
        <v>0</v>
      </c>
      <c r="I127" s="5" t="b">
        <f>IF($A127="",FALSE,AND(NOT(H127),C127&lt;&gt;"BLOCKING",L127))</f>
        <v>0</v>
      </c>
      <c r="J127" s="34">
        <f>IF(OR(H127,I127),N(P_Alertes!D24),0)</f>
        <v>0.0</v>
      </c>
      <c r="K127" s="5" t="b">
        <f>IF($A127="",FALSE,AND(OR(H127,I127),P_Alertes!I24="Oui"))</f>
        <v>0</v>
      </c>
      <c r="L127" s="5" t="b">
        <f>IF($A127="",FALSE,AND(OR(D127="gt",D127="gte",D127="lt",D127="lte"),F127=""))</f>
        <v>0</v>
      </c>
      <c r="M127" s="5">
        <f>IF(L127,IF(ISNUMBER(SEARCH(","&amp;E127&amp;",",","&amp;M126&amp;",")),M126,M126&amp;IF(M126="","",",")&amp;E127),M126)</f>
        <v/>
      </c>
      <c r="N127" s="5" t="str">
        <f>IF(OR(H127,I127),N126&amp;IF(N126="","",", ")&amp;A127,N126)</f>
        <v>RF_CASH_LT_ECH</v>
      </c>
      <c r="O127" s="5">
        <f>IF(AND(L127,NOT(ISNUMBER(SEARCH(","&amp;E127&amp;",",","&amp;M126&amp;",")))),O126&amp;IF(O126="","",", ")&amp;IFERROR(INDEX(Saisie!$C$13:$C$92,MATCH(E127,In_Cles,0)),E127),O126)</f>
        <v/>
      </c>
      <c r="P127" s="5" t="str">
        <f>IF(OR(H127,I127),P126&amp;IF(P126="","","; ")&amp;B127&amp;IF(I127," (donnée absente)",""),P126)</f>
        <v>Cash coverage &lt; 1,0x</v>
      </c>
    </row>
    <row r="128" spans="1:16">
      <c r="A128" s="5">
        <f>IF(P_Alertes!A25="","",P_Alertes!A25)</f>
        <v/>
      </c>
      <c r="B128" s="5">
        <f>IF($A128="","",P_Alertes!B25)</f>
        <v/>
      </c>
      <c r="C128" s="5">
        <f>IF($A128="","",P_Alertes!C25)</f>
        <v/>
      </c>
      <c r="D128" s="5">
        <f>IF($A128="","",P_Alertes!G25)</f>
        <v/>
      </c>
      <c r="E128" s="5">
        <f>IF($A128="","",P_Alertes!F25)</f>
        <v/>
      </c>
      <c r="F128" s="5">
        <f>IF($A128="","",IFERROR(INDEX(In_Retenue,MATCH($E128,In_Cles,0)),""))</f>
        <v/>
      </c>
      <c r="G128" s="5">
        <f>IF($A128="","",IF(P_Alertes!H25="","",P_Alertes!H25))</f>
        <v/>
      </c>
      <c r="H128" s="5" t="b">
        <f>IF($A128="",FALSE,IF(D128="isTrue",F128=TRUE,IF(D128="isFalse",F128=FALSE,IF(D128="eq",F128=G128,IF(D128="neq",F128&lt;&gt;G128,IF(D128="gt",AND(ISNUMBER(F128),ISNUMBER(G128),N(F128)&gt;N(G128)),IF(D128="gte",AND(ISNUMBER(F128),ISNUMBER(G128),N(F128)&gt;=N(G128)),IF(D128="lt",AND(ISNUMBER(F128),ISNUMBER(G128),N(F128)&lt;N(G128)),IF(D128="lte",AND(ISNUMBER(F128),ISNUMBER(G128),N(F128)&lt;=N(G128)),FALSE)))))))))</f>
        <v>0</v>
      </c>
      <c r="I128" s="5" t="b">
        <f>IF($A128="",FALSE,AND(NOT(H128),C128&lt;&gt;"BLOCKING",L128))</f>
        <v>0</v>
      </c>
      <c r="J128" s="34">
        <f>IF(OR(H128,I128),N(P_Alertes!D25),0)</f>
        <v>0.0</v>
      </c>
      <c r="K128" s="5" t="b">
        <f>IF($A128="",FALSE,AND(OR(H128,I128),P_Alertes!I25="Oui"))</f>
        <v>0</v>
      </c>
      <c r="L128" s="5" t="b">
        <f>IF($A128="",FALSE,AND(OR(D128="gt",D128="gte",D128="lt",D128="lte"),F128=""))</f>
        <v>0</v>
      </c>
      <c r="M128" s="5">
        <f>IF(L128,IF(ISNUMBER(SEARCH(","&amp;E128&amp;",",","&amp;M127&amp;",")),M127,M127&amp;IF(M127="","",",")&amp;E128),M127)</f>
        <v/>
      </c>
      <c r="N128" s="5" t="str">
        <f>IF(OR(H128,I128),N127&amp;IF(N127="","",", ")&amp;A128,N127)</f>
        <v>RF_CASH_LT_ECH</v>
      </c>
      <c r="O128" s="5">
        <f>IF(AND(L128,NOT(ISNUMBER(SEARCH(","&amp;E128&amp;",",","&amp;M127&amp;",")))),O127&amp;IF(O127="","",", ")&amp;IFERROR(INDEX(Saisie!$C$13:$C$92,MATCH(E128,In_Cles,0)),E128),O127)</f>
        <v/>
      </c>
      <c r="P128" s="5" t="str">
        <f>IF(OR(H128,I128),P127&amp;IF(P127="","","; ")&amp;B128&amp;IF(I128," (donnée absente)",""),P127)</f>
        <v>Cash coverage &lt; 1,0x</v>
      </c>
    </row>
    <row r="129" spans="1:16">
      <c r="A129" s="5">
        <f>IF(P_Alertes!A26="","",P_Alertes!A26)</f>
        <v/>
      </c>
      <c r="B129" s="5">
        <f>IF($A129="","",P_Alertes!B26)</f>
        <v/>
      </c>
      <c r="C129" s="5">
        <f>IF($A129="","",P_Alertes!C26)</f>
        <v/>
      </c>
      <c r="D129" s="5">
        <f>IF($A129="","",P_Alertes!G26)</f>
        <v/>
      </c>
      <c r="E129" s="5">
        <f>IF($A129="","",P_Alertes!F26)</f>
        <v/>
      </c>
      <c r="F129" s="5">
        <f>IF($A129="","",IFERROR(INDEX(In_Retenue,MATCH($E129,In_Cles,0)),""))</f>
        <v/>
      </c>
      <c r="G129" s="5">
        <f>IF($A129="","",IF(P_Alertes!H26="","",P_Alertes!H26))</f>
        <v/>
      </c>
      <c r="H129" s="5" t="b">
        <f>IF($A129="",FALSE,IF(D129="isTrue",F129=TRUE,IF(D129="isFalse",F129=FALSE,IF(D129="eq",F129=G129,IF(D129="neq",F129&lt;&gt;G129,IF(D129="gt",AND(ISNUMBER(F129),ISNUMBER(G129),N(F129)&gt;N(G129)),IF(D129="gte",AND(ISNUMBER(F129),ISNUMBER(G129),N(F129)&gt;=N(G129)),IF(D129="lt",AND(ISNUMBER(F129),ISNUMBER(G129),N(F129)&lt;N(G129)),IF(D129="lte",AND(ISNUMBER(F129),ISNUMBER(G129),N(F129)&lt;=N(G129)),FALSE)))))))))</f>
        <v>0</v>
      </c>
      <c r="I129" s="5" t="b">
        <f>IF($A129="",FALSE,AND(NOT(H129),C129&lt;&gt;"BLOCKING",L129))</f>
        <v>0</v>
      </c>
      <c r="J129" s="34">
        <f>IF(OR(H129,I129),N(P_Alertes!D26),0)</f>
        <v>0.0</v>
      </c>
      <c r="K129" s="5" t="b">
        <f>IF($A129="",FALSE,AND(OR(H129,I129),P_Alertes!I26="Oui"))</f>
        <v>0</v>
      </c>
      <c r="L129" s="5" t="b">
        <f>IF($A129="",FALSE,AND(OR(D129="gt",D129="gte",D129="lt",D129="lte"),F129=""))</f>
        <v>0</v>
      </c>
      <c r="M129" s="5">
        <f>IF(L129,IF(ISNUMBER(SEARCH(","&amp;E129&amp;",",","&amp;M128&amp;",")),M128,M128&amp;IF(M128="","",",")&amp;E129),M128)</f>
        <v/>
      </c>
      <c r="N129" s="5" t="str">
        <f>IF(OR(H129,I129),N128&amp;IF(N128="","",", ")&amp;A129,N128)</f>
        <v>RF_CASH_LT_ECH</v>
      </c>
      <c r="O129" s="5">
        <f>IF(AND(L129,NOT(ISNUMBER(SEARCH(","&amp;E129&amp;",",","&amp;M128&amp;",")))),O128&amp;IF(O128="","",", ")&amp;IFERROR(INDEX(Saisie!$C$13:$C$92,MATCH(E129,In_Cles,0)),E129),O128)</f>
        <v/>
      </c>
      <c r="P129" s="5" t="str">
        <f>IF(OR(H129,I129),P128&amp;IF(P128="","","; ")&amp;B129&amp;IF(I129," (donnée absente)",""),P128)</f>
        <v>Cash coverage &lt; 1,0x</v>
      </c>
    </row>
    <row r="130" spans="1:16">
      <c r="A130" s="5">
        <f>IF(P_Alertes!A27="","",P_Alertes!A27)</f>
        <v/>
      </c>
      <c r="B130" s="5">
        <f>IF($A130="","",P_Alertes!B27)</f>
        <v/>
      </c>
      <c r="C130" s="5">
        <f>IF($A130="","",P_Alertes!C27)</f>
        <v/>
      </c>
      <c r="D130" s="5">
        <f>IF($A130="","",P_Alertes!G27)</f>
        <v/>
      </c>
      <c r="E130" s="5">
        <f>IF($A130="","",P_Alertes!F27)</f>
        <v/>
      </c>
      <c r="F130" s="5">
        <f>IF($A130="","",IFERROR(INDEX(In_Retenue,MATCH($E130,In_Cles,0)),""))</f>
        <v/>
      </c>
      <c r="G130" s="5">
        <f>IF($A130="","",IF(P_Alertes!H27="","",P_Alertes!H27))</f>
        <v/>
      </c>
      <c r="H130" s="5" t="b">
        <f>IF($A130="",FALSE,IF(D130="isTrue",F130=TRUE,IF(D130="isFalse",F130=FALSE,IF(D130="eq",F130=G130,IF(D130="neq",F130&lt;&gt;G130,IF(D130="gt",AND(ISNUMBER(F130),ISNUMBER(G130),N(F130)&gt;N(G130)),IF(D130="gte",AND(ISNUMBER(F130),ISNUMBER(G130),N(F130)&gt;=N(G130)),IF(D130="lt",AND(ISNUMBER(F130),ISNUMBER(G130),N(F130)&lt;N(G130)),IF(D130="lte",AND(ISNUMBER(F130),ISNUMBER(G130),N(F130)&lt;=N(G130)),FALSE)))))))))</f>
        <v>0</v>
      </c>
      <c r="I130" s="5" t="b">
        <f>IF($A130="",FALSE,AND(NOT(H130),C130&lt;&gt;"BLOCKING",L130))</f>
        <v>0</v>
      </c>
      <c r="J130" s="34">
        <f>IF(OR(H130,I130),N(P_Alertes!D27),0)</f>
        <v>0.0</v>
      </c>
      <c r="K130" s="5" t="b">
        <f>IF($A130="",FALSE,AND(OR(H130,I130),P_Alertes!I27="Oui"))</f>
        <v>0</v>
      </c>
      <c r="L130" s="5" t="b">
        <f>IF($A130="",FALSE,AND(OR(D130="gt",D130="gte",D130="lt",D130="lte"),F130=""))</f>
        <v>0</v>
      </c>
      <c r="M130" s="5">
        <f>IF(L130,IF(ISNUMBER(SEARCH(","&amp;E130&amp;",",","&amp;M129&amp;",")),M129,M129&amp;IF(M129="","",",")&amp;E130),M129)</f>
        <v/>
      </c>
      <c r="N130" s="5" t="str">
        <f>IF(OR(H130,I130),N129&amp;IF(N129="","",", ")&amp;A130,N129)</f>
        <v>RF_CASH_LT_ECH</v>
      </c>
      <c r="O130" s="5">
        <f>IF(AND(L130,NOT(ISNUMBER(SEARCH(","&amp;E130&amp;",",","&amp;M129&amp;",")))),O129&amp;IF(O129="","",", ")&amp;IFERROR(INDEX(Saisie!$C$13:$C$92,MATCH(E130,In_Cles,0)),E130),O129)</f>
        <v/>
      </c>
      <c r="P130" s="5" t="str">
        <f>IF(OR(H130,I130),P129&amp;IF(P129="","","; ")&amp;B130&amp;IF(I130," (donnée absente)",""),P129)</f>
        <v>Cash coverage &lt; 1,0x</v>
      </c>
    </row>
    <row r="131" spans="1:16">
      <c r="A131" s="5">
        <f>IF(P_Alertes!A28="","",P_Alertes!A28)</f>
        <v/>
      </c>
      <c r="B131" s="5">
        <f>IF($A131="","",P_Alertes!B28)</f>
        <v/>
      </c>
      <c r="C131" s="5">
        <f>IF($A131="","",P_Alertes!C28)</f>
        <v/>
      </c>
      <c r="D131" s="5">
        <f>IF($A131="","",P_Alertes!G28)</f>
        <v/>
      </c>
      <c r="E131" s="5">
        <f>IF($A131="","",P_Alertes!F28)</f>
        <v/>
      </c>
      <c r="F131" s="5">
        <f>IF($A131="","",IFERROR(INDEX(In_Retenue,MATCH($E131,In_Cles,0)),""))</f>
        <v/>
      </c>
      <c r="G131" s="5">
        <f>IF($A131="","",IF(P_Alertes!H28="","",P_Alertes!H28))</f>
        <v/>
      </c>
      <c r="H131" s="5" t="b">
        <f>IF($A131="",FALSE,IF(D131="isTrue",F131=TRUE,IF(D131="isFalse",F131=FALSE,IF(D131="eq",F131=G131,IF(D131="neq",F131&lt;&gt;G131,IF(D131="gt",AND(ISNUMBER(F131),ISNUMBER(G131),N(F131)&gt;N(G131)),IF(D131="gte",AND(ISNUMBER(F131),ISNUMBER(G131),N(F131)&gt;=N(G131)),IF(D131="lt",AND(ISNUMBER(F131),ISNUMBER(G131),N(F131)&lt;N(G131)),IF(D131="lte",AND(ISNUMBER(F131),ISNUMBER(G131),N(F131)&lt;=N(G131)),FALSE)))))))))</f>
        <v>0</v>
      </c>
      <c r="I131" s="5" t="b">
        <f>IF($A131="",FALSE,AND(NOT(H131),C131&lt;&gt;"BLOCKING",L131))</f>
        <v>0</v>
      </c>
      <c r="J131" s="34">
        <f>IF(OR(H131,I131),N(P_Alertes!D28),0)</f>
        <v>0.0</v>
      </c>
      <c r="K131" s="5" t="b">
        <f>IF($A131="",FALSE,AND(OR(H131,I131),P_Alertes!I28="Oui"))</f>
        <v>0</v>
      </c>
      <c r="L131" s="5" t="b">
        <f>IF($A131="",FALSE,AND(OR(D131="gt",D131="gte",D131="lt",D131="lte"),F131=""))</f>
        <v>0</v>
      </c>
      <c r="M131" s="5">
        <f>IF(L131,IF(ISNUMBER(SEARCH(","&amp;E131&amp;",",","&amp;M130&amp;",")),M130,M130&amp;IF(M130="","",",")&amp;E131),M130)</f>
        <v/>
      </c>
      <c r="N131" s="5" t="str">
        <f>IF(OR(H131,I131),N130&amp;IF(N130="","",", ")&amp;A131,N130)</f>
        <v>RF_CASH_LT_ECH</v>
      </c>
      <c r="O131" s="5">
        <f>IF(AND(L131,NOT(ISNUMBER(SEARCH(","&amp;E131&amp;",",","&amp;M130&amp;",")))),O130&amp;IF(O130="","",", ")&amp;IFERROR(INDEX(Saisie!$C$13:$C$92,MATCH(E131,In_Cles,0)),E131),O130)</f>
        <v/>
      </c>
      <c r="P131" s="5" t="str">
        <f>IF(OR(H131,I131),P130&amp;IF(P130="","","; ")&amp;B131&amp;IF(I131," (donnée absente)",""),P130)</f>
        <v>Cash coverage &lt; 1,0x</v>
      </c>
    </row>
    <row r="132" spans="1:16">
      <c r="A132" s="5">
        <f>IF(P_Alertes!A29="","",P_Alertes!A29)</f>
        <v/>
      </c>
      <c r="B132" s="5">
        <f>IF($A132="","",P_Alertes!B29)</f>
        <v/>
      </c>
      <c r="C132" s="5">
        <f>IF($A132="","",P_Alertes!C29)</f>
        <v/>
      </c>
      <c r="D132" s="5">
        <f>IF($A132="","",P_Alertes!G29)</f>
        <v/>
      </c>
      <c r="E132" s="5">
        <f>IF($A132="","",P_Alertes!F29)</f>
        <v/>
      </c>
      <c r="F132" s="5">
        <f>IF($A132="","",IFERROR(INDEX(In_Retenue,MATCH($E132,In_Cles,0)),""))</f>
        <v/>
      </c>
      <c r="G132" s="5">
        <f>IF($A132="","",IF(P_Alertes!H29="","",P_Alertes!H29))</f>
        <v/>
      </c>
      <c r="H132" s="5" t="b">
        <f>IF($A132="",FALSE,IF(D132="isTrue",F132=TRUE,IF(D132="isFalse",F132=FALSE,IF(D132="eq",F132=G132,IF(D132="neq",F132&lt;&gt;G132,IF(D132="gt",AND(ISNUMBER(F132),ISNUMBER(G132),N(F132)&gt;N(G132)),IF(D132="gte",AND(ISNUMBER(F132),ISNUMBER(G132),N(F132)&gt;=N(G132)),IF(D132="lt",AND(ISNUMBER(F132),ISNUMBER(G132),N(F132)&lt;N(G132)),IF(D132="lte",AND(ISNUMBER(F132),ISNUMBER(G132),N(F132)&lt;=N(G132)),FALSE)))))))))</f>
        <v>0</v>
      </c>
      <c r="I132" s="5" t="b">
        <f>IF($A132="",FALSE,AND(NOT(H132),C132&lt;&gt;"BLOCKING",L132))</f>
        <v>0</v>
      </c>
      <c r="J132" s="34">
        <f>IF(OR(H132,I132),N(P_Alertes!D29),0)</f>
        <v>0.0</v>
      </c>
      <c r="K132" s="5" t="b">
        <f>IF($A132="",FALSE,AND(OR(H132,I132),P_Alertes!I29="Oui"))</f>
        <v>0</v>
      </c>
      <c r="L132" s="5" t="b">
        <f>IF($A132="",FALSE,AND(OR(D132="gt",D132="gte",D132="lt",D132="lte"),F132=""))</f>
        <v>0</v>
      </c>
      <c r="M132" s="5">
        <f>IF(L132,IF(ISNUMBER(SEARCH(","&amp;E132&amp;",",","&amp;M131&amp;",")),M131,M131&amp;IF(M131="","",",")&amp;E132),M131)</f>
        <v/>
      </c>
      <c r="N132" s="5" t="str">
        <f>IF(OR(H132,I132),N131&amp;IF(N131="","",", ")&amp;A132,N131)</f>
        <v>RF_CASH_LT_ECH</v>
      </c>
      <c r="O132" s="5">
        <f>IF(AND(L132,NOT(ISNUMBER(SEARCH(","&amp;E132&amp;",",","&amp;M131&amp;",")))),O131&amp;IF(O131="","",", ")&amp;IFERROR(INDEX(Saisie!$C$13:$C$92,MATCH(E132,In_Cles,0)),E132),O131)</f>
        <v/>
      </c>
      <c r="P132" s="5" t="str">
        <f>IF(OR(H132,I132),P131&amp;IF(P131="","","; ")&amp;B132&amp;IF(I132," (donnée absente)",""),P131)</f>
        <v>Cash coverage &lt; 1,0x</v>
      </c>
    </row>
    <row r="133" spans="1:16">
      <c r="A133" s="5">
        <f>IF(P_Alertes!A30="","",P_Alertes!A30)</f>
        <v/>
      </c>
      <c r="B133" s="5">
        <f>IF($A133="","",P_Alertes!B30)</f>
        <v/>
      </c>
      <c r="C133" s="5">
        <f>IF($A133="","",P_Alertes!C30)</f>
        <v/>
      </c>
      <c r="D133" s="5">
        <f>IF($A133="","",P_Alertes!G30)</f>
        <v/>
      </c>
      <c r="E133" s="5">
        <f>IF($A133="","",P_Alertes!F30)</f>
        <v/>
      </c>
      <c r="F133" s="5">
        <f>IF($A133="","",IFERROR(INDEX(In_Retenue,MATCH($E133,In_Cles,0)),""))</f>
        <v/>
      </c>
      <c r="G133" s="5">
        <f>IF($A133="","",IF(P_Alertes!H30="","",P_Alertes!H30))</f>
        <v/>
      </c>
      <c r="H133" s="5" t="b">
        <f>IF($A133="",FALSE,IF(D133="isTrue",F133=TRUE,IF(D133="isFalse",F133=FALSE,IF(D133="eq",F133=G133,IF(D133="neq",F133&lt;&gt;G133,IF(D133="gt",AND(ISNUMBER(F133),ISNUMBER(G133),N(F133)&gt;N(G133)),IF(D133="gte",AND(ISNUMBER(F133),ISNUMBER(G133),N(F133)&gt;=N(G133)),IF(D133="lt",AND(ISNUMBER(F133),ISNUMBER(G133),N(F133)&lt;N(G133)),IF(D133="lte",AND(ISNUMBER(F133),ISNUMBER(G133),N(F133)&lt;=N(G133)),FALSE)))))))))</f>
        <v>0</v>
      </c>
      <c r="I133" s="5" t="b">
        <f>IF($A133="",FALSE,AND(NOT(H133),C133&lt;&gt;"BLOCKING",L133))</f>
        <v>0</v>
      </c>
      <c r="J133" s="34">
        <f>IF(OR(H133,I133),N(P_Alertes!D30),0)</f>
        <v>0.0</v>
      </c>
      <c r="K133" s="5" t="b">
        <f>IF($A133="",FALSE,AND(OR(H133,I133),P_Alertes!I30="Oui"))</f>
        <v>0</v>
      </c>
      <c r="L133" s="5" t="b">
        <f>IF($A133="",FALSE,AND(OR(D133="gt",D133="gte",D133="lt",D133="lte"),F133=""))</f>
        <v>0</v>
      </c>
      <c r="M133" s="5">
        <f>IF(L133,IF(ISNUMBER(SEARCH(","&amp;E133&amp;",",","&amp;M132&amp;",")),M132,M132&amp;IF(M132="","",",")&amp;E133),M132)</f>
        <v/>
      </c>
      <c r="N133" s="5" t="str">
        <f>IF(OR(H133,I133),N132&amp;IF(N132="","",", ")&amp;A133,N132)</f>
        <v>RF_CASH_LT_ECH</v>
      </c>
      <c r="O133" s="5">
        <f>IF(AND(L133,NOT(ISNUMBER(SEARCH(","&amp;E133&amp;",",","&amp;M132&amp;",")))),O132&amp;IF(O132="","",", ")&amp;IFERROR(INDEX(Saisie!$C$13:$C$92,MATCH(E133,In_Cles,0)),E133),O132)</f>
        <v/>
      </c>
      <c r="P133" s="5" t="str">
        <f>IF(OR(H133,I133),P132&amp;IF(P132="","","; ")&amp;B133&amp;IF(I133," (donnée absente)",""),P132)</f>
        <v>Cash coverage &lt; 1,0x</v>
      </c>
    </row>
    <row r="134" spans="1:16">
      <c r="A134" s="5">
        <f>IF(P_Alertes!A31="","",P_Alertes!A31)</f>
        <v/>
      </c>
      <c r="B134" s="5">
        <f>IF($A134="","",P_Alertes!B31)</f>
        <v/>
      </c>
      <c r="C134" s="5">
        <f>IF($A134="","",P_Alertes!C31)</f>
        <v/>
      </c>
      <c r="D134" s="5">
        <f>IF($A134="","",P_Alertes!G31)</f>
        <v/>
      </c>
      <c r="E134" s="5">
        <f>IF($A134="","",P_Alertes!F31)</f>
        <v/>
      </c>
      <c r="F134" s="5">
        <f>IF($A134="","",IFERROR(INDEX(In_Retenue,MATCH($E134,In_Cles,0)),""))</f>
        <v/>
      </c>
      <c r="G134" s="5">
        <f>IF($A134="","",IF(P_Alertes!H31="","",P_Alertes!H31))</f>
        <v/>
      </c>
      <c r="H134" s="5" t="b">
        <f>IF($A134="",FALSE,IF(D134="isTrue",F134=TRUE,IF(D134="isFalse",F134=FALSE,IF(D134="eq",F134=G134,IF(D134="neq",F134&lt;&gt;G134,IF(D134="gt",AND(ISNUMBER(F134),ISNUMBER(G134),N(F134)&gt;N(G134)),IF(D134="gte",AND(ISNUMBER(F134),ISNUMBER(G134),N(F134)&gt;=N(G134)),IF(D134="lt",AND(ISNUMBER(F134),ISNUMBER(G134),N(F134)&lt;N(G134)),IF(D134="lte",AND(ISNUMBER(F134),ISNUMBER(G134),N(F134)&lt;=N(G134)),FALSE)))))))))</f>
        <v>0</v>
      </c>
      <c r="I134" s="5" t="b">
        <f>IF($A134="",FALSE,AND(NOT(H134),C134&lt;&gt;"BLOCKING",L134))</f>
        <v>0</v>
      </c>
      <c r="J134" s="34">
        <f>IF(OR(H134,I134),N(P_Alertes!D31),0)</f>
        <v>0.0</v>
      </c>
      <c r="K134" s="5" t="b">
        <f>IF($A134="",FALSE,AND(OR(H134,I134),P_Alertes!I31="Oui"))</f>
        <v>0</v>
      </c>
      <c r="L134" s="5" t="b">
        <f>IF($A134="",FALSE,AND(OR(D134="gt",D134="gte",D134="lt",D134="lte"),F134=""))</f>
        <v>0</v>
      </c>
      <c r="M134" s="5">
        <f>IF(L134,IF(ISNUMBER(SEARCH(","&amp;E134&amp;",",","&amp;M133&amp;",")),M133,M133&amp;IF(M133="","",",")&amp;E134),M133)</f>
        <v/>
      </c>
      <c r="N134" s="5" t="str">
        <f>IF(OR(H134,I134),N133&amp;IF(N133="","",", ")&amp;A134,N133)</f>
        <v>RF_CASH_LT_ECH</v>
      </c>
      <c r="O134" s="5">
        <f>IF(AND(L134,NOT(ISNUMBER(SEARCH(","&amp;E134&amp;",",","&amp;M133&amp;",")))),O133&amp;IF(O133="","",", ")&amp;IFERROR(INDEX(Saisie!$C$13:$C$92,MATCH(E134,In_Cles,0)),E134),O133)</f>
        <v/>
      </c>
      <c r="P134" s="5" t="str">
        <f>IF(OR(H134,I134),P133&amp;IF(P133="","","; ")&amp;B134&amp;IF(I134," (donnée absente)",""),P133)</f>
        <v>Cash coverage &lt; 1,0x</v>
      </c>
    </row>
    <row r="135" spans="1:16">
      <c r="A135" s="5">
        <f>IF(P_Alertes!A32="","",P_Alertes!A32)</f>
        <v/>
      </c>
      <c r="B135" s="5">
        <f>IF($A135="","",P_Alertes!B32)</f>
        <v/>
      </c>
      <c r="C135" s="5">
        <f>IF($A135="","",P_Alertes!C32)</f>
        <v/>
      </c>
      <c r="D135" s="5">
        <f>IF($A135="","",P_Alertes!G32)</f>
        <v/>
      </c>
      <c r="E135" s="5">
        <f>IF($A135="","",P_Alertes!F32)</f>
        <v/>
      </c>
      <c r="F135" s="5">
        <f>IF($A135="","",IFERROR(INDEX(In_Retenue,MATCH($E135,In_Cles,0)),""))</f>
        <v/>
      </c>
      <c r="G135" s="5">
        <f>IF($A135="","",IF(P_Alertes!H32="","",P_Alertes!H32))</f>
        <v/>
      </c>
      <c r="H135" s="5" t="b">
        <f>IF($A135="",FALSE,IF(D135="isTrue",F135=TRUE,IF(D135="isFalse",F135=FALSE,IF(D135="eq",F135=G135,IF(D135="neq",F135&lt;&gt;G135,IF(D135="gt",AND(ISNUMBER(F135),ISNUMBER(G135),N(F135)&gt;N(G135)),IF(D135="gte",AND(ISNUMBER(F135),ISNUMBER(G135),N(F135)&gt;=N(G135)),IF(D135="lt",AND(ISNUMBER(F135),ISNUMBER(G135),N(F135)&lt;N(G135)),IF(D135="lte",AND(ISNUMBER(F135),ISNUMBER(G135),N(F135)&lt;=N(G135)),FALSE)))))))))</f>
        <v>0</v>
      </c>
      <c r="I135" s="5" t="b">
        <f>IF($A135="",FALSE,AND(NOT(H135),C135&lt;&gt;"BLOCKING",L135))</f>
        <v>0</v>
      </c>
      <c r="J135" s="34">
        <f>IF(OR(H135,I135),N(P_Alertes!D32),0)</f>
        <v>0.0</v>
      </c>
      <c r="K135" s="5" t="b">
        <f>IF($A135="",FALSE,AND(OR(H135,I135),P_Alertes!I32="Oui"))</f>
        <v>0</v>
      </c>
      <c r="L135" s="5" t="b">
        <f>IF($A135="",FALSE,AND(OR(D135="gt",D135="gte",D135="lt",D135="lte"),F135=""))</f>
        <v>0</v>
      </c>
      <c r="M135" s="5">
        <f>IF(L135,IF(ISNUMBER(SEARCH(","&amp;E135&amp;",",","&amp;M134&amp;",")),M134,M134&amp;IF(M134="","",",")&amp;E135),M134)</f>
        <v/>
      </c>
      <c r="N135" s="5" t="str">
        <f>IF(OR(H135,I135),N134&amp;IF(N134="","",", ")&amp;A135,N134)</f>
        <v>RF_CASH_LT_ECH</v>
      </c>
      <c r="O135" s="5">
        <f>IF(AND(L135,NOT(ISNUMBER(SEARCH(","&amp;E135&amp;",",","&amp;M134&amp;",")))),O134&amp;IF(O134="","",", ")&amp;IFERROR(INDEX(Saisie!$C$13:$C$92,MATCH(E135,In_Cles,0)),E135),O134)</f>
        <v/>
      </c>
      <c r="P135" s="5" t="str">
        <f>IF(OR(H135,I135),P134&amp;IF(P134="","","; ")&amp;B135&amp;IF(I135," (donnée absente)",""),P134)</f>
        <v>Cash coverage &lt; 1,0x</v>
      </c>
    </row>
    <row r="136" spans="1:16">
      <c r="A136" s="5">
        <f>IF(P_Alertes!A33="","",P_Alertes!A33)</f>
        <v/>
      </c>
      <c r="B136" s="5">
        <f>IF($A136="","",P_Alertes!B33)</f>
        <v/>
      </c>
      <c r="C136" s="5">
        <f>IF($A136="","",P_Alertes!C33)</f>
        <v/>
      </c>
      <c r="D136" s="5">
        <f>IF($A136="","",P_Alertes!G33)</f>
        <v/>
      </c>
      <c r="E136" s="5">
        <f>IF($A136="","",P_Alertes!F33)</f>
        <v/>
      </c>
      <c r="F136" s="5">
        <f>IF($A136="","",IFERROR(INDEX(In_Retenue,MATCH($E136,In_Cles,0)),""))</f>
        <v/>
      </c>
      <c r="G136" s="5">
        <f>IF($A136="","",IF(P_Alertes!H33="","",P_Alertes!H33))</f>
        <v/>
      </c>
      <c r="H136" s="5" t="b">
        <f>IF($A136="",FALSE,IF(D136="isTrue",F136=TRUE,IF(D136="isFalse",F136=FALSE,IF(D136="eq",F136=G136,IF(D136="neq",F136&lt;&gt;G136,IF(D136="gt",AND(ISNUMBER(F136),ISNUMBER(G136),N(F136)&gt;N(G136)),IF(D136="gte",AND(ISNUMBER(F136),ISNUMBER(G136),N(F136)&gt;=N(G136)),IF(D136="lt",AND(ISNUMBER(F136),ISNUMBER(G136),N(F136)&lt;N(G136)),IF(D136="lte",AND(ISNUMBER(F136),ISNUMBER(G136),N(F136)&lt;=N(G136)),FALSE)))))))))</f>
        <v>0</v>
      </c>
      <c r="I136" s="5" t="b">
        <f>IF($A136="",FALSE,AND(NOT(H136),C136&lt;&gt;"BLOCKING",L136))</f>
        <v>0</v>
      </c>
      <c r="J136" s="34">
        <f>IF(OR(H136,I136),N(P_Alertes!D33),0)</f>
        <v>0.0</v>
      </c>
      <c r="K136" s="5" t="b">
        <f>IF($A136="",FALSE,AND(OR(H136,I136),P_Alertes!I33="Oui"))</f>
        <v>0</v>
      </c>
      <c r="L136" s="5" t="b">
        <f>IF($A136="",FALSE,AND(OR(D136="gt",D136="gte",D136="lt",D136="lte"),F136=""))</f>
        <v>0</v>
      </c>
      <c r="M136" s="5">
        <f>IF(L136,IF(ISNUMBER(SEARCH(","&amp;E136&amp;",",","&amp;M135&amp;",")),M135,M135&amp;IF(M135="","",",")&amp;E136),M135)</f>
        <v/>
      </c>
      <c r="N136" s="5" t="str">
        <f>IF(OR(H136,I136),N135&amp;IF(N135="","",", ")&amp;A136,N135)</f>
        <v>RF_CASH_LT_ECH</v>
      </c>
      <c r="O136" s="5">
        <f>IF(AND(L136,NOT(ISNUMBER(SEARCH(","&amp;E136&amp;",",","&amp;M135&amp;",")))),O135&amp;IF(O135="","",", ")&amp;IFERROR(INDEX(Saisie!$C$13:$C$92,MATCH(E136,In_Cles,0)),E136),O135)</f>
        <v/>
      </c>
      <c r="P136" s="5" t="str">
        <f>IF(OR(H136,I136),P135&amp;IF(P135="","","; ")&amp;B136&amp;IF(I136," (donnée absente)",""),P135)</f>
        <v>Cash coverage &lt; 1,0x</v>
      </c>
    </row>
    <row r="137" spans="1:16">
      <c r="A137" s="5">
        <f>IF(P_Alertes!A34="","",P_Alertes!A34)</f>
        <v/>
      </c>
      <c r="B137" s="5">
        <f>IF($A137="","",P_Alertes!B34)</f>
        <v/>
      </c>
      <c r="C137" s="5">
        <f>IF($A137="","",P_Alertes!C34)</f>
        <v/>
      </c>
      <c r="D137" s="5">
        <f>IF($A137="","",P_Alertes!G34)</f>
        <v/>
      </c>
      <c r="E137" s="5">
        <f>IF($A137="","",P_Alertes!F34)</f>
        <v/>
      </c>
      <c r="F137" s="5">
        <f>IF($A137="","",IFERROR(INDEX(In_Retenue,MATCH($E137,In_Cles,0)),""))</f>
        <v/>
      </c>
      <c r="G137" s="5">
        <f>IF($A137="","",IF(P_Alertes!H34="","",P_Alertes!H34))</f>
        <v/>
      </c>
      <c r="H137" s="5" t="b">
        <f>IF($A137="",FALSE,IF(D137="isTrue",F137=TRUE,IF(D137="isFalse",F137=FALSE,IF(D137="eq",F137=G137,IF(D137="neq",F137&lt;&gt;G137,IF(D137="gt",AND(ISNUMBER(F137),ISNUMBER(G137),N(F137)&gt;N(G137)),IF(D137="gte",AND(ISNUMBER(F137),ISNUMBER(G137),N(F137)&gt;=N(G137)),IF(D137="lt",AND(ISNUMBER(F137),ISNUMBER(G137),N(F137)&lt;N(G137)),IF(D137="lte",AND(ISNUMBER(F137),ISNUMBER(G137),N(F137)&lt;=N(G137)),FALSE)))))))))</f>
        <v>0</v>
      </c>
      <c r="I137" s="5" t="b">
        <f>IF($A137="",FALSE,AND(NOT(H137),C137&lt;&gt;"BLOCKING",L137))</f>
        <v>0</v>
      </c>
      <c r="J137" s="34">
        <f>IF(OR(H137,I137),N(P_Alertes!D34),0)</f>
        <v>0.0</v>
      </c>
      <c r="K137" s="5" t="b">
        <f>IF($A137="",FALSE,AND(OR(H137,I137),P_Alertes!I34="Oui"))</f>
        <v>0</v>
      </c>
      <c r="L137" s="5" t="b">
        <f>IF($A137="",FALSE,AND(OR(D137="gt",D137="gte",D137="lt",D137="lte"),F137=""))</f>
        <v>0</v>
      </c>
      <c r="M137" s="5">
        <f>IF(L137,IF(ISNUMBER(SEARCH(","&amp;E137&amp;",",","&amp;M136&amp;",")),M136,M136&amp;IF(M136="","",",")&amp;E137),M136)</f>
        <v/>
      </c>
      <c r="N137" s="5" t="str">
        <f>IF(OR(H137,I137),N136&amp;IF(N136="","",", ")&amp;A137,N136)</f>
        <v>RF_CASH_LT_ECH</v>
      </c>
      <c r="O137" s="5">
        <f>IF(AND(L137,NOT(ISNUMBER(SEARCH(","&amp;E137&amp;",",","&amp;M136&amp;",")))),O136&amp;IF(O136="","",", ")&amp;IFERROR(INDEX(Saisie!$C$13:$C$92,MATCH(E137,In_Cles,0)),E137),O136)</f>
        <v/>
      </c>
      <c r="P137" s="5" t="str">
        <f>IF(OR(H137,I137),P136&amp;IF(P136="","","; ")&amp;B137&amp;IF(I137," (donnée absente)",""),P136)</f>
        <v>Cash coverage &lt; 1,0x</v>
      </c>
    </row>
  </sheetData>
  <sheetProtection sheet="1" objects="1" scenarios="1" formatColumns="0" formatRows="0"/>
  <conditionalFormatting sqref="C7">
    <cfRule type="cellIs" dxfId="0" priority="1" operator="equal">
      <formula>"GO"</formula>
    </cfRule>
    <cfRule type="cellIs" dxfId="6" priority="2" operator="equal">
      <formula>"GO_WITH_CONDITIONS"</formula>
    </cfRule>
    <cfRule type="cellIs" dxfId="2" priority="3" operator="equal">
      <formula>"WATCH_LIST"</formula>
    </cfRule>
    <cfRule type="cellIs" dxfId="3" priority="4" operator="equal">
      <formula>"NO_GO"</formula>
    </cfRule>
    <cfRule type="cellIs" dxfId="4" priority="5" operator="equal">
      <formula>"DOSSIER_INCOMPLET"</formula>
    </cfRule>
  </conditionalFormatting>
  <conditionalFormatting sqref="H108:H137">
    <cfRule type="cellIs" dxfId="3" priority="6" operator="equal">
      <formula>TRUE</formula>
    </cfRule>
  </conditionalFormatting>
  <conditionalFormatting sqref="I44:J103">
    <cfRule type="cellIs" dxfId="3" priority="7" operator="equal">
      <formula>TRUE</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4"/>
  <sheetViews>
    <sheetView workbookViewId="0"/>
  </sheetViews>
  <sheetFormatPr defaultRowHeight="15"/>
  <cols>
    <col min="1" max="1" width="20.7109375" customWidth="1"/>
    <col min="2" max="4" width="22.7109375" customWidth="1"/>
    <col min="5" max="9" width="16.7109375" customWidth="1"/>
  </cols>
  <sheetData>
    <row r="1" spans="1:9">
      <c r="A1" s="12" t="s">
        <v>936</v>
      </c>
    </row>
    <row r="2" spans="1:9">
      <c r="A2" s="2" t="s">
        <v>937</v>
      </c>
    </row>
    <row r="4" spans="1:9">
      <c r="A4" s="19" t="s">
        <v>938</v>
      </c>
      <c r="B4" s="19" t="s">
        <v>939</v>
      </c>
      <c r="C4" s="19" t="s">
        <v>940</v>
      </c>
      <c r="D4" s="19" t="s">
        <v>5</v>
      </c>
      <c r="E4" s="19" t="s">
        <v>821</v>
      </c>
      <c r="F4" s="19" t="s">
        <v>556</v>
      </c>
      <c r="G4" s="19" t="s">
        <v>557</v>
      </c>
      <c r="H4" s="19" t="s">
        <v>822</v>
      </c>
      <c r="I4" s="19" t="s">
        <v>823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B1:C27"/>
  <sheetViews>
    <sheetView showGridLines="0" workbookViewId="0"/>
  </sheetViews>
  <sheetFormatPr defaultRowHeight="15"/>
  <cols>
    <col min="1" max="1" width="3.7109375" customWidth="1"/>
    <col min="2" max="2" width="30.7109375" customWidth="1"/>
    <col min="3" max="3" width="110.7109375" customWidth="1"/>
  </cols>
  <sheetData>
    <row r="1" spans="2:3">
      <c r="B1" s="12" t="s">
        <v>941</v>
      </c>
    </row>
    <row r="2" spans="2:3">
      <c r="B2" s="2" t="str">
        <f>"Modèle PI_PROMOTION "&amp;P_Version&amp;" — publié le "&amp;P_Date&amp;" · outil 5.1 (05/10/2026)"</f>
        <v>Modèle PI_PROMOTION v5.0.0 — publié le 2026-10-01 · outil 5.1 (05/10/2026)</v>
      </c>
    </row>
    <row r="4" spans="2:3" ht="48" customHeight="1">
      <c r="B4" s="49" t="s">
        <v>942</v>
      </c>
      <c r="C4" s="10" t="s">
        <v>943</v>
      </c>
    </row>
    <row r="5" spans="2:3" ht="48" customHeight="1">
      <c r="B5" s="49" t="s">
        <v>944</v>
      </c>
      <c r="C5" s="10" t="s">
        <v>945</v>
      </c>
    </row>
    <row r="6" spans="2:3" ht="48" customHeight="1">
      <c r="B6" s="49" t="s">
        <v>946</v>
      </c>
      <c r="C6" s="10" t="s">
        <v>947</v>
      </c>
    </row>
    <row r="7" spans="2:3" ht="48" customHeight="1">
      <c r="B7" s="49" t="s">
        <v>948</v>
      </c>
      <c r="C7" s="10" t="s">
        <v>949</v>
      </c>
    </row>
    <row r="8" spans="2:3" ht="48" customHeight="1">
      <c r="B8" s="49" t="s">
        <v>950</v>
      </c>
      <c r="C8" s="10" t="s">
        <v>951</v>
      </c>
    </row>
    <row r="9" spans="2:3" ht="48" customHeight="1">
      <c r="B9" s="49" t="s">
        <v>952</v>
      </c>
      <c r="C9" s="10" t="s">
        <v>953</v>
      </c>
    </row>
    <row r="10" spans="2:3" ht="48" customHeight="1">
      <c r="B10" s="49" t="s">
        <v>954</v>
      </c>
      <c r="C10" s="10" t="s">
        <v>955</v>
      </c>
    </row>
    <row r="11" spans="2:3" ht="48" customHeight="1">
      <c r="B11" s="49" t="s">
        <v>956</v>
      </c>
      <c r="C11" s="10" t="s">
        <v>957</v>
      </c>
    </row>
    <row r="12" spans="2:3" ht="48" customHeight="1">
      <c r="B12" s="49" t="s">
        <v>958</v>
      </c>
      <c r="C12" s="10" t="s">
        <v>959</v>
      </c>
    </row>
    <row r="13" spans="2:3" ht="48" customHeight="1">
      <c r="B13" s="49" t="s">
        <v>960</v>
      </c>
      <c r="C13" s="10" t="s">
        <v>961</v>
      </c>
    </row>
    <row r="14" spans="2:3" ht="48" customHeight="1">
      <c r="B14" s="49" t="s">
        <v>962</v>
      </c>
      <c r="C14" s="10" t="s">
        <v>963</v>
      </c>
    </row>
    <row r="15" spans="2:3" ht="48" customHeight="1">
      <c r="B15" s="49" t="s">
        <v>964</v>
      </c>
      <c r="C15" s="10" t="s">
        <v>965</v>
      </c>
    </row>
    <row r="16" spans="2:3" ht="48" customHeight="1">
      <c r="B16" s="49" t="s">
        <v>966</v>
      </c>
      <c r="C16" s="10" t="s">
        <v>967</v>
      </c>
    </row>
    <row r="18" spans="2:3">
      <c r="B18" s="13" t="s">
        <v>968</v>
      </c>
      <c r="C18" s="13"/>
    </row>
    <row r="19" spans="2:3">
      <c r="B19" s="4" t="s">
        <v>969</v>
      </c>
      <c r="C19" t="s">
        <v>970</v>
      </c>
    </row>
    <row r="20" spans="2:3">
      <c r="B20" s="4" t="s">
        <v>952</v>
      </c>
      <c r="C20" t="s">
        <v>971</v>
      </c>
    </row>
    <row r="21" spans="2:3">
      <c r="B21" s="4" t="s">
        <v>972</v>
      </c>
      <c r="C21" t="s">
        <v>973</v>
      </c>
    </row>
    <row r="22" spans="2:3">
      <c r="B22" s="4" t="s">
        <v>974</v>
      </c>
      <c r="C22" t="s">
        <v>975</v>
      </c>
    </row>
    <row r="23" spans="2:3">
      <c r="B23" s="4" t="s">
        <v>976</v>
      </c>
      <c r="C23" t="s">
        <v>977</v>
      </c>
    </row>
    <row r="24" spans="2:3">
      <c r="B24" s="4" t="s">
        <v>978</v>
      </c>
      <c r="C24" t="s">
        <v>979</v>
      </c>
    </row>
    <row r="25" spans="2:3">
      <c r="B25" s="4" t="s">
        <v>980</v>
      </c>
      <c r="C25" t="s">
        <v>981</v>
      </c>
    </row>
    <row r="26" spans="2:3">
      <c r="B26" s="4" t="s">
        <v>982</v>
      </c>
      <c r="C26" t="s">
        <v>983</v>
      </c>
    </row>
    <row r="27" spans="2:3">
      <c r="B27" s="4" t="s">
        <v>984</v>
      </c>
      <c r="C27" t="s">
        <v>985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S30"/>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8.7109375" customWidth="1"/>
    <col min="2" max="2" width="52.7109375" customWidth="1"/>
    <col min="3" max="5" width="14.7109375" customWidth="1"/>
    <col min="6" max="72" width="13.7109375" customWidth="1"/>
  </cols>
  <sheetData>
    <row r="1" spans="1:71">
      <c r="A1" s="12" t="s">
        <v>836</v>
      </c>
    </row>
    <row r="2" spans="1:71">
      <c r="A2" s="2" t="s">
        <v>837</v>
      </c>
    </row>
    <row r="3" spans="1:71">
      <c r="A3" s="13" t="s">
        <v>818</v>
      </c>
      <c r="F3" s="13" t="s">
        <v>819</v>
      </c>
    </row>
    <row r="4" spans="1:71" ht="42" customHeight="1">
      <c r="A4" s="19" t="s">
        <v>838</v>
      </c>
      <c r="B4" s="19" t="s">
        <v>839</v>
      </c>
      <c r="C4" s="19" t="s">
        <v>71</v>
      </c>
      <c r="D4" s="19" t="s">
        <v>73</v>
      </c>
      <c r="E4" s="19" t="s">
        <v>820</v>
      </c>
      <c r="F4" s="19" t="s">
        <v>121</v>
      </c>
      <c r="G4" s="19" t="s">
        <v>126</v>
      </c>
      <c r="H4" s="19" t="s">
        <v>130</v>
      </c>
      <c r="I4" s="19" t="s">
        <v>134</v>
      </c>
      <c r="J4" s="19" t="s">
        <v>137</v>
      </c>
      <c r="K4" s="19" t="s">
        <v>140</v>
      </c>
      <c r="L4" s="19" t="s">
        <v>144</v>
      </c>
      <c r="M4" s="19" t="s">
        <v>148</v>
      </c>
      <c r="N4" s="19" t="s">
        <v>151</v>
      </c>
      <c r="O4" s="19" t="s">
        <v>154</v>
      </c>
      <c r="P4" s="19" t="s">
        <v>157</v>
      </c>
      <c r="Q4" s="19" t="s">
        <v>160</v>
      </c>
      <c r="R4" s="19" t="s">
        <v>163</v>
      </c>
      <c r="S4" s="19" t="s">
        <v>166</v>
      </c>
      <c r="T4" s="19" t="s">
        <v>170</v>
      </c>
      <c r="U4" s="19" t="s">
        <v>173</v>
      </c>
      <c r="V4" s="19" t="s">
        <v>176</v>
      </c>
      <c r="W4" s="19" t="s">
        <v>179</v>
      </c>
      <c r="X4" s="19" t="s">
        <v>182</v>
      </c>
      <c r="Y4" s="19" t="s">
        <v>185</v>
      </c>
      <c r="Z4" s="19" t="s">
        <v>188</v>
      </c>
      <c r="AA4" s="19" t="s">
        <v>191</v>
      </c>
      <c r="AB4" s="19" t="s">
        <v>194</v>
      </c>
      <c r="AC4" s="19" t="s">
        <v>197</v>
      </c>
      <c r="AD4" s="19" t="s">
        <v>200</v>
      </c>
      <c r="AE4" s="19" t="s">
        <v>203</v>
      </c>
      <c r="AF4" s="19" t="s">
        <v>206</v>
      </c>
      <c r="AG4" s="19" t="s">
        <v>209</v>
      </c>
      <c r="AH4" s="19" t="s">
        <v>212</v>
      </c>
      <c r="AI4" s="19" t="s">
        <v>215</v>
      </c>
      <c r="AJ4" s="19" t="s">
        <v>218</v>
      </c>
      <c r="AK4" s="19" t="s">
        <v>222</v>
      </c>
      <c r="AL4" s="19" t="s">
        <v>225</v>
      </c>
      <c r="AM4" s="19" t="s">
        <v>228</v>
      </c>
      <c r="AN4" s="19" t="s">
        <v>231</v>
      </c>
      <c r="AO4" s="19" t="s">
        <v>235</v>
      </c>
      <c r="AP4" s="19" t="s">
        <v>238</v>
      </c>
      <c r="AQ4" s="19" t="s">
        <v>16</v>
      </c>
      <c r="AR4" s="19" t="s">
        <v>459</v>
      </c>
      <c r="AS4" s="19" t="s">
        <v>450</v>
      </c>
      <c r="AT4" s="19" t="s">
        <v>454</v>
      </c>
      <c r="AU4" s="19" t="s">
        <v>434</v>
      </c>
      <c r="AV4" s="19" t="s">
        <v>423</v>
      </c>
      <c r="AW4" s="19" t="s">
        <v>426</v>
      </c>
      <c r="AX4" s="19" t="s">
        <v>400</v>
      </c>
      <c r="AY4" s="19" t="s">
        <v>392</v>
      </c>
      <c r="AZ4" s="19" t="s">
        <v>440</v>
      </c>
      <c r="BA4" s="19" t="s">
        <v>413</v>
      </c>
      <c r="BB4" s="19" t="s">
        <v>462</v>
      </c>
      <c r="BC4" s="19" t="s">
        <v>446</v>
      </c>
      <c r="BD4" s="19" t="s">
        <v>418</v>
      </c>
      <c r="BE4" s="19" t="s">
        <v>408</v>
      </c>
      <c r="BF4" s="19" t="s">
        <v>840</v>
      </c>
      <c r="BG4" s="19" t="s">
        <v>841</v>
      </c>
      <c r="BH4" s="19" t="s">
        <v>842</v>
      </c>
      <c r="BI4" s="19" t="s">
        <v>843</v>
      </c>
      <c r="BJ4" s="19" t="s">
        <v>844</v>
      </c>
      <c r="BK4" s="19" t="s">
        <v>845</v>
      </c>
      <c r="BL4" s="19" t="s">
        <v>846</v>
      </c>
      <c r="BM4" s="19" t="s">
        <v>847</v>
      </c>
      <c r="BN4" s="19" t="s">
        <v>848</v>
      </c>
      <c r="BO4" s="19" t="s">
        <v>849</v>
      </c>
      <c r="BP4" s="19" t="s">
        <v>850</v>
      </c>
      <c r="BQ4" s="40" t="s">
        <v>851</v>
      </c>
      <c r="BR4" s="40" t="s">
        <v>852</v>
      </c>
      <c r="BS4" s="40" t="s">
        <v>853</v>
      </c>
    </row>
    <row r="5" spans="1:71">
      <c r="A5" s="5" t="s">
        <v>854</v>
      </c>
      <c r="B5" s="5" t="s">
        <v>831</v>
      </c>
      <c r="C5" s="14"/>
      <c r="D5" s="14"/>
      <c r="E5" s="14" t="s">
        <v>34</v>
      </c>
      <c r="F5" s="14">
        <v>8</v>
      </c>
      <c r="G5" s="14">
        <v>85</v>
      </c>
      <c r="H5" s="14" t="s">
        <v>259</v>
      </c>
      <c r="I5" s="14">
        <v>35</v>
      </c>
      <c r="J5" s="14" t="s">
        <v>268</v>
      </c>
      <c r="K5" s="14">
        <v>100</v>
      </c>
      <c r="L5" s="14" t="s">
        <v>277</v>
      </c>
      <c r="M5" s="14" t="s">
        <v>283</v>
      </c>
      <c r="N5" s="14" t="s">
        <v>289</v>
      </c>
      <c r="O5" s="14">
        <v>100</v>
      </c>
      <c r="P5" s="14" t="s">
        <v>294</v>
      </c>
      <c r="Q5" s="14" t="s">
        <v>294</v>
      </c>
      <c r="R5" s="14">
        <v>22</v>
      </c>
      <c r="S5" s="14">
        <v>100</v>
      </c>
      <c r="T5" s="14" t="s">
        <v>306</v>
      </c>
      <c r="U5" s="14" t="s">
        <v>312</v>
      </c>
      <c r="V5" s="14">
        <v>0</v>
      </c>
      <c r="W5" s="14" t="s">
        <v>323</v>
      </c>
      <c r="X5" s="14">
        <v>62</v>
      </c>
      <c r="Y5" s="14">
        <v>100</v>
      </c>
      <c r="Z5" s="14">
        <v>90</v>
      </c>
      <c r="AA5" s="14">
        <v>1.35</v>
      </c>
      <c r="AB5" s="14">
        <v>0</v>
      </c>
      <c r="AC5" s="14">
        <v>16</v>
      </c>
      <c r="AD5" s="14">
        <v>18</v>
      </c>
      <c r="AE5" s="14">
        <v>55</v>
      </c>
      <c r="AF5" s="14">
        <v>5</v>
      </c>
      <c r="AG5" s="14">
        <v>3</v>
      </c>
      <c r="AH5" s="14">
        <v>27</v>
      </c>
      <c r="AI5" s="14">
        <v>61</v>
      </c>
      <c r="AJ5" s="14">
        <v>65</v>
      </c>
      <c r="AK5" s="14">
        <v>125</v>
      </c>
      <c r="AL5" s="14" t="s">
        <v>365</v>
      </c>
      <c r="AM5" s="14">
        <v>3.2</v>
      </c>
      <c r="AN5" s="14">
        <v>5</v>
      </c>
      <c r="AO5" s="14">
        <v>98</v>
      </c>
      <c r="AP5" s="14">
        <v>2</v>
      </c>
      <c r="AQ5" s="14">
        <v>0</v>
      </c>
      <c r="AR5" s="14">
        <v>0</v>
      </c>
      <c r="AS5" s="14">
        <v>0</v>
      </c>
      <c r="AT5" s="14" t="s">
        <v>532</v>
      </c>
      <c r="AU5" s="14" t="s">
        <v>534</v>
      </c>
      <c r="AV5" s="14" t="s">
        <v>36</v>
      </c>
      <c r="AW5" s="14" t="s">
        <v>36</v>
      </c>
      <c r="AX5" s="14" t="s">
        <v>36</v>
      </c>
      <c r="AY5" s="14" t="s">
        <v>36</v>
      </c>
      <c r="AZ5" s="14" t="s">
        <v>36</v>
      </c>
      <c r="BA5" s="14" t="s">
        <v>36</v>
      </c>
      <c r="BB5" s="14" t="s">
        <v>36</v>
      </c>
      <c r="BC5" s="14" t="s">
        <v>36</v>
      </c>
      <c r="BD5" s="14" t="s">
        <v>36</v>
      </c>
      <c r="BE5" s="14" t="s">
        <v>36</v>
      </c>
      <c r="BF5" s="41">
        <v>99.04000000000001</v>
      </c>
      <c r="BG5" s="41" t="s">
        <v>58</v>
      </c>
      <c r="BH5" s="41" t="s">
        <v>855</v>
      </c>
      <c r="BI5" s="41">
        <v>0</v>
      </c>
      <c r="BJ5" s="41" t="s">
        <v>36</v>
      </c>
      <c r="BK5" s="41">
        <v>99.04000000000001</v>
      </c>
      <c r="BL5" s="41">
        <v>100</v>
      </c>
      <c r="BM5" s="41">
        <v>100</v>
      </c>
      <c r="BN5" s="41">
        <v>100</v>
      </c>
      <c r="BO5" s="41">
        <v>96</v>
      </c>
      <c r="BP5" s="41">
        <v>100</v>
      </c>
    </row>
    <row r="6" spans="1:71">
      <c r="A6" s="5" t="s">
        <v>856</v>
      </c>
      <c r="B6" s="5" t="s">
        <v>857</v>
      </c>
      <c r="C6" s="14" t="s">
        <v>95</v>
      </c>
      <c r="D6" s="14" t="s">
        <v>85</v>
      </c>
      <c r="E6" s="14" t="s">
        <v>34</v>
      </c>
      <c r="F6" s="14">
        <v>8</v>
      </c>
      <c r="G6" s="14">
        <v>85</v>
      </c>
      <c r="H6" s="14" t="s">
        <v>259</v>
      </c>
      <c r="I6" s="14">
        <v>35</v>
      </c>
      <c r="J6" s="14" t="s">
        <v>268</v>
      </c>
      <c r="K6" s="14">
        <v>100</v>
      </c>
      <c r="L6" s="14" t="s">
        <v>277</v>
      </c>
      <c r="M6" s="14" t="s">
        <v>283</v>
      </c>
      <c r="N6" s="14" t="s">
        <v>289</v>
      </c>
      <c r="O6" s="14">
        <v>100</v>
      </c>
      <c r="P6" s="14" t="s">
        <v>294</v>
      </c>
      <c r="Q6" s="14" t="s">
        <v>294</v>
      </c>
      <c r="R6" s="14">
        <v>22</v>
      </c>
      <c r="S6" s="14">
        <v>100</v>
      </c>
      <c r="T6" s="14" t="s">
        <v>306</v>
      </c>
      <c r="U6" s="14" t="s">
        <v>312</v>
      </c>
      <c r="V6" s="14">
        <v>0</v>
      </c>
      <c r="W6" s="14" t="s">
        <v>323</v>
      </c>
      <c r="X6" s="14">
        <v>62</v>
      </c>
      <c r="Y6" s="14">
        <v>100</v>
      </c>
      <c r="Z6" s="14">
        <v>90</v>
      </c>
      <c r="AA6" s="14">
        <v>1.35</v>
      </c>
      <c r="AB6" s="14">
        <v>0</v>
      </c>
      <c r="AC6" s="14">
        <v>16</v>
      </c>
      <c r="AD6" s="14">
        <v>18</v>
      </c>
      <c r="AE6" s="14">
        <v>55</v>
      </c>
      <c r="AF6" s="14">
        <v>5</v>
      </c>
      <c r="AG6" s="14">
        <v>3</v>
      </c>
      <c r="AH6" s="14">
        <v>27</v>
      </c>
      <c r="AI6" s="14">
        <v>61</v>
      </c>
      <c r="AJ6" s="14">
        <v>65</v>
      </c>
      <c r="AK6" s="14">
        <v>125</v>
      </c>
      <c r="AL6" s="14" t="s">
        <v>365</v>
      </c>
      <c r="AM6" s="14">
        <v>3.2</v>
      </c>
      <c r="AN6" s="14">
        <v>5</v>
      </c>
      <c r="AO6" s="14">
        <v>98</v>
      </c>
      <c r="AP6" s="14">
        <v>2</v>
      </c>
      <c r="AQ6" s="14">
        <v>0</v>
      </c>
      <c r="AR6" s="14">
        <v>0</v>
      </c>
      <c r="AS6" s="14">
        <v>0</v>
      </c>
      <c r="AT6" s="14" t="s">
        <v>532</v>
      </c>
      <c r="AU6" s="14" t="s">
        <v>534</v>
      </c>
      <c r="AV6" s="14" t="s">
        <v>36</v>
      </c>
      <c r="AW6" s="14" t="s">
        <v>36</v>
      </c>
      <c r="AX6" s="14" t="s">
        <v>36</v>
      </c>
      <c r="AY6" s="14" t="s">
        <v>36</v>
      </c>
      <c r="AZ6" s="14" t="s">
        <v>36</v>
      </c>
      <c r="BA6" s="14" t="s">
        <v>36</v>
      </c>
      <c r="BB6" s="14" t="s">
        <v>36</v>
      </c>
      <c r="BC6" s="14" t="s">
        <v>36</v>
      </c>
      <c r="BD6" s="14" t="s">
        <v>36</v>
      </c>
      <c r="BE6" s="14" t="s">
        <v>36</v>
      </c>
      <c r="BF6" s="41">
        <v>85.17</v>
      </c>
      <c r="BG6" s="41" t="s">
        <v>58</v>
      </c>
      <c r="BH6" s="41" t="s">
        <v>855</v>
      </c>
      <c r="BI6" s="41">
        <v>0</v>
      </c>
      <c r="BJ6" s="41" t="s">
        <v>36</v>
      </c>
      <c r="BK6" s="41">
        <v>99.04000000000001</v>
      </c>
      <c r="BL6" s="41">
        <v>100</v>
      </c>
      <c r="BM6" s="41">
        <v>100</v>
      </c>
      <c r="BN6" s="41">
        <v>100</v>
      </c>
      <c r="BO6" s="41">
        <v>96</v>
      </c>
      <c r="BP6" s="41">
        <v>100</v>
      </c>
    </row>
    <row r="7" spans="1:71">
      <c r="A7" s="5" t="s">
        <v>858</v>
      </c>
      <c r="B7" s="5" t="s">
        <v>833</v>
      </c>
      <c r="C7" s="14" t="s">
        <v>99</v>
      </c>
      <c r="D7" s="14" t="s">
        <v>101</v>
      </c>
      <c r="E7" s="14" t="s">
        <v>34</v>
      </c>
      <c r="F7" s="14">
        <v>2</v>
      </c>
      <c r="G7" s="14">
        <v>120</v>
      </c>
      <c r="H7" s="14" t="s">
        <v>257</v>
      </c>
      <c r="I7" s="14">
        <v>50</v>
      </c>
      <c r="J7" s="14" t="s">
        <v>266</v>
      </c>
      <c r="K7" s="14">
        <v>90</v>
      </c>
      <c r="L7" s="14" t="s">
        <v>275</v>
      </c>
      <c r="M7" s="14" t="s">
        <v>281</v>
      </c>
      <c r="N7" s="14" t="s">
        <v>287</v>
      </c>
      <c r="O7" s="14">
        <v>90</v>
      </c>
      <c r="P7" s="14" t="s">
        <v>281</v>
      </c>
      <c r="Q7" s="14" t="s">
        <v>287</v>
      </c>
      <c r="R7" s="14">
        <v>30</v>
      </c>
      <c r="S7" s="14">
        <v>70</v>
      </c>
      <c r="T7" s="14" t="s">
        <v>304</v>
      </c>
      <c r="U7" s="14" t="s">
        <v>310</v>
      </c>
      <c r="V7" s="14">
        <v>1.5</v>
      </c>
      <c r="W7" s="14" t="s">
        <v>319</v>
      </c>
      <c r="X7" s="14">
        <v>35</v>
      </c>
      <c r="Y7" s="14">
        <v>90</v>
      </c>
      <c r="Z7" s="14">
        <v>180</v>
      </c>
      <c r="AA7" s="14">
        <v>1.1</v>
      </c>
      <c r="AB7" s="14">
        <v>5</v>
      </c>
      <c r="AC7" s="14">
        <v>24</v>
      </c>
      <c r="AD7" s="14">
        <v>12</v>
      </c>
      <c r="AE7" s="14">
        <v>30</v>
      </c>
      <c r="AF7" s="14">
        <v>25</v>
      </c>
      <c r="AG7" s="14">
        <v>12</v>
      </c>
      <c r="AH7" s="14">
        <v>20</v>
      </c>
      <c r="AI7" s="14">
        <v>70</v>
      </c>
      <c r="AJ7" s="14">
        <v>78</v>
      </c>
      <c r="AK7" s="14">
        <v>100</v>
      </c>
      <c r="AL7" s="14" t="s">
        <v>365</v>
      </c>
      <c r="AM7" s="14">
        <v>2</v>
      </c>
      <c r="AN7" s="14">
        <v>-5</v>
      </c>
      <c r="AO7" s="14">
        <v>108</v>
      </c>
      <c r="AP7" s="14">
        <v>7</v>
      </c>
      <c r="AQ7" s="14">
        <v>0</v>
      </c>
      <c r="AR7" s="14">
        <v>0</v>
      </c>
      <c r="AS7" s="14">
        <v>0</v>
      </c>
      <c r="AT7" s="14" t="s">
        <v>532</v>
      </c>
      <c r="AU7" s="14" t="s">
        <v>534</v>
      </c>
      <c r="AV7" s="14" t="s">
        <v>36</v>
      </c>
      <c r="AW7" s="14" t="s">
        <v>36</v>
      </c>
      <c r="AX7" s="14" t="s">
        <v>36</v>
      </c>
      <c r="AY7" s="14" t="s">
        <v>36</v>
      </c>
      <c r="AZ7" s="14" t="s">
        <v>36</v>
      </c>
      <c r="BA7" s="14" t="s">
        <v>36</v>
      </c>
      <c r="BB7" s="14" t="s">
        <v>36</v>
      </c>
      <c r="BC7" s="14" t="s">
        <v>36</v>
      </c>
      <c r="BD7" s="14" t="s">
        <v>36</v>
      </c>
      <c r="BE7" s="14" t="s">
        <v>36</v>
      </c>
      <c r="BF7" s="41">
        <v>54.86</v>
      </c>
      <c r="BG7" s="41" t="s">
        <v>62</v>
      </c>
      <c r="BH7" s="41" t="s">
        <v>859</v>
      </c>
      <c r="BI7" s="41">
        <v>0</v>
      </c>
      <c r="BJ7" s="41" t="s">
        <v>36</v>
      </c>
      <c r="BK7" s="41">
        <v>60.96</v>
      </c>
      <c r="BL7" s="41">
        <v>60</v>
      </c>
      <c r="BM7" s="41">
        <v>60</v>
      </c>
      <c r="BN7" s="41">
        <v>60</v>
      </c>
      <c r="BO7" s="41">
        <v>64</v>
      </c>
      <c r="BP7" s="41">
        <v>67.27</v>
      </c>
    </row>
    <row r="8" spans="1:71">
      <c r="A8" s="5" t="s">
        <v>860</v>
      </c>
      <c r="B8" s="5" t="s">
        <v>861</v>
      </c>
      <c r="C8" s="14"/>
      <c r="D8" s="14"/>
      <c r="E8" s="14" t="s">
        <v>34</v>
      </c>
      <c r="F8" s="14">
        <v>2</v>
      </c>
      <c r="G8" s="14">
        <v>120</v>
      </c>
      <c r="H8" s="14" t="s">
        <v>257</v>
      </c>
      <c r="I8" s="14">
        <v>50</v>
      </c>
      <c r="J8" s="14" t="s">
        <v>266</v>
      </c>
      <c r="K8" s="14">
        <v>90</v>
      </c>
      <c r="L8" s="14" t="s">
        <v>275</v>
      </c>
      <c r="M8" s="14" t="s">
        <v>281</v>
      </c>
      <c r="N8" s="14" t="s">
        <v>287</v>
      </c>
      <c r="O8" s="14">
        <v>90</v>
      </c>
      <c r="P8" s="14" t="s">
        <v>281</v>
      </c>
      <c r="Q8" s="14" t="s">
        <v>287</v>
      </c>
      <c r="R8" s="14">
        <v>30</v>
      </c>
      <c r="S8" s="14">
        <v>70</v>
      </c>
      <c r="T8" s="14" t="s">
        <v>304</v>
      </c>
      <c r="U8" s="14" t="s">
        <v>310</v>
      </c>
      <c r="V8" s="14">
        <v>1.5</v>
      </c>
      <c r="W8" s="14" t="s">
        <v>319</v>
      </c>
      <c r="X8" s="14">
        <v>35</v>
      </c>
      <c r="Y8" s="14">
        <v>90</v>
      </c>
      <c r="Z8" s="14">
        <v>180</v>
      </c>
      <c r="AA8" s="14">
        <v>0.9</v>
      </c>
      <c r="AB8" s="14">
        <v>5</v>
      </c>
      <c r="AC8" s="14">
        <v>24</v>
      </c>
      <c r="AD8" s="14">
        <v>12</v>
      </c>
      <c r="AE8" s="14">
        <v>30</v>
      </c>
      <c r="AF8" s="14">
        <v>25</v>
      </c>
      <c r="AG8" s="14">
        <v>12</v>
      </c>
      <c r="AH8" s="14">
        <v>20</v>
      </c>
      <c r="AI8" s="14">
        <v>70</v>
      </c>
      <c r="AJ8" s="14">
        <v>78</v>
      </c>
      <c r="AK8" s="14">
        <v>100</v>
      </c>
      <c r="AL8" s="14" t="s">
        <v>365</v>
      </c>
      <c r="AM8" s="14">
        <v>2</v>
      </c>
      <c r="AN8" s="14">
        <v>-5</v>
      </c>
      <c r="AO8" s="14">
        <v>108</v>
      </c>
      <c r="AP8" s="14">
        <v>7</v>
      </c>
      <c r="AQ8" s="14">
        <v>0</v>
      </c>
      <c r="AR8" s="14">
        <v>0</v>
      </c>
      <c r="AS8" s="14">
        <v>0</v>
      </c>
      <c r="AT8" s="14" t="s">
        <v>532</v>
      </c>
      <c r="AU8" s="14" t="s">
        <v>534</v>
      </c>
      <c r="AV8" s="14" t="s">
        <v>36</v>
      </c>
      <c r="AW8" s="14" t="s">
        <v>41</v>
      </c>
      <c r="AX8" s="14" t="s">
        <v>36</v>
      </c>
      <c r="AY8" s="14" t="s">
        <v>36</v>
      </c>
      <c r="AZ8" s="14" t="s">
        <v>36</v>
      </c>
      <c r="BA8" s="14" t="s">
        <v>36</v>
      </c>
      <c r="BB8" s="14" t="s">
        <v>36</v>
      </c>
      <c r="BC8" s="14" t="s">
        <v>36</v>
      </c>
      <c r="BD8" s="14" t="s">
        <v>36</v>
      </c>
      <c r="BE8" s="14" t="s">
        <v>36</v>
      </c>
      <c r="BF8" s="41">
        <v>12.86</v>
      </c>
      <c r="BG8" s="41" t="s">
        <v>64</v>
      </c>
      <c r="BH8" s="41" t="s">
        <v>862</v>
      </c>
      <c r="BI8" s="41">
        <v>45</v>
      </c>
      <c r="BJ8" s="41" t="s">
        <v>36</v>
      </c>
      <c r="BK8" s="41">
        <v>57.86</v>
      </c>
      <c r="BL8" s="41">
        <v>60</v>
      </c>
      <c r="BM8" s="41">
        <v>60</v>
      </c>
      <c r="BN8" s="41">
        <v>50</v>
      </c>
      <c r="BO8" s="41">
        <v>64</v>
      </c>
      <c r="BP8" s="41">
        <v>67.27</v>
      </c>
    </row>
    <row r="9" spans="1:71">
      <c r="A9" s="5" t="s">
        <v>863</v>
      </c>
      <c r="B9" s="5" t="s">
        <v>864</v>
      </c>
      <c r="C9" s="14"/>
      <c r="D9" s="14"/>
      <c r="E9" s="14" t="s">
        <v>34</v>
      </c>
      <c r="F9" s="14">
        <v>8</v>
      </c>
      <c r="G9" s="14">
        <v>85</v>
      </c>
      <c r="H9" s="14" t="s">
        <v>259</v>
      </c>
      <c r="I9" s="14">
        <v>35</v>
      </c>
      <c r="J9" s="14" t="s">
        <v>268</v>
      </c>
      <c r="K9" s="14">
        <v>100</v>
      </c>
      <c r="L9" s="14" t="s">
        <v>277</v>
      </c>
      <c r="M9" s="14" t="s">
        <v>283</v>
      </c>
      <c r="N9" s="14" t="s">
        <v>289</v>
      </c>
      <c r="O9" s="14">
        <v>100</v>
      </c>
      <c r="P9" s="14" t="s">
        <v>294</v>
      </c>
      <c r="Q9" s="14" t="s">
        <v>294</v>
      </c>
      <c r="R9" s="14">
        <v>22</v>
      </c>
      <c r="S9" s="14">
        <v>100</v>
      </c>
      <c r="T9" s="14" t="s">
        <v>306</v>
      </c>
      <c r="U9" s="14" t="s">
        <v>312</v>
      </c>
      <c r="V9" s="14">
        <v>0</v>
      </c>
      <c r="W9" s="14" t="s">
        <v>323</v>
      </c>
      <c r="X9" s="14">
        <v>62</v>
      </c>
      <c r="Y9" s="14">
        <v>100</v>
      </c>
      <c r="Z9" s="14">
        <v>90</v>
      </c>
      <c r="AA9" s="14">
        <v>1.35</v>
      </c>
      <c r="AB9" s="14">
        <v>0</v>
      </c>
      <c r="AC9" s="14">
        <v>16</v>
      </c>
      <c r="AD9" s="14">
        <v>18</v>
      </c>
      <c r="AE9" s="14">
        <v>55</v>
      </c>
      <c r="AF9" s="14">
        <v>5</v>
      </c>
      <c r="AG9" s="14">
        <v>3</v>
      </c>
      <c r="AH9" s="14">
        <v>27</v>
      </c>
      <c r="AI9" s="14">
        <v>61</v>
      </c>
      <c r="AJ9" s="14">
        <v>65</v>
      </c>
      <c r="AK9" s="14">
        <v>125</v>
      </c>
      <c r="AL9" s="14" t="s">
        <v>365</v>
      </c>
      <c r="AM9" s="14">
        <v>3.2</v>
      </c>
      <c r="AN9" s="14">
        <v>5</v>
      </c>
      <c r="AO9" s="14">
        <v>98</v>
      </c>
      <c r="AP9" s="14">
        <v>2</v>
      </c>
      <c r="AQ9" s="14">
        <v>120</v>
      </c>
      <c r="AR9" s="14">
        <v>0</v>
      </c>
      <c r="AS9" s="14">
        <v>0</v>
      </c>
      <c r="AT9" s="14" t="s">
        <v>532</v>
      </c>
      <c r="AU9" s="14" t="s">
        <v>534</v>
      </c>
      <c r="AV9" s="14" t="s">
        <v>36</v>
      </c>
      <c r="AW9" s="14" t="s">
        <v>36</v>
      </c>
      <c r="AX9" s="14" t="s">
        <v>36</v>
      </c>
      <c r="AY9" s="14" t="s">
        <v>36</v>
      </c>
      <c r="AZ9" s="14" t="s">
        <v>36</v>
      </c>
      <c r="BA9" s="14" t="s">
        <v>36</v>
      </c>
      <c r="BB9" s="14" t="s">
        <v>36</v>
      </c>
      <c r="BC9" s="14" t="s">
        <v>36</v>
      </c>
      <c r="BD9" s="14" t="s">
        <v>36</v>
      </c>
      <c r="BE9" s="14" t="s">
        <v>36</v>
      </c>
      <c r="BF9" s="41">
        <v>99.04000000000001</v>
      </c>
      <c r="BG9" s="41" t="s">
        <v>64</v>
      </c>
      <c r="BH9" s="41" t="s">
        <v>865</v>
      </c>
      <c r="BI9" s="41">
        <v>0</v>
      </c>
      <c r="BJ9" s="41" t="s">
        <v>36</v>
      </c>
      <c r="BK9" s="41">
        <v>99.04000000000001</v>
      </c>
      <c r="BL9" s="41">
        <v>100</v>
      </c>
      <c r="BM9" s="41">
        <v>100</v>
      </c>
      <c r="BN9" s="41">
        <v>100</v>
      </c>
      <c r="BO9" s="41">
        <v>96</v>
      </c>
      <c r="BP9" s="41">
        <v>100</v>
      </c>
    </row>
    <row r="10" spans="1:71">
      <c r="A10" s="5" t="s">
        <v>866</v>
      </c>
      <c r="B10" s="5" t="s">
        <v>867</v>
      </c>
      <c r="C10" s="14"/>
      <c r="D10" s="14"/>
      <c r="E10" s="14" t="s">
        <v>34</v>
      </c>
      <c r="F10" s="14">
        <v>8</v>
      </c>
      <c r="G10" s="14">
        <v>85</v>
      </c>
      <c r="H10" s="14" t="s">
        <v>259</v>
      </c>
      <c r="I10" s="14">
        <v>35</v>
      </c>
      <c r="J10" s="14" t="s">
        <v>268</v>
      </c>
      <c r="K10" s="14">
        <v>100</v>
      </c>
      <c r="L10" s="14" t="s">
        <v>277</v>
      </c>
      <c r="M10" s="14" t="s">
        <v>283</v>
      </c>
      <c r="N10" s="14" t="s">
        <v>289</v>
      </c>
      <c r="O10" s="14">
        <v>100</v>
      </c>
      <c r="P10" s="14" t="s">
        <v>294</v>
      </c>
      <c r="Q10" s="14" t="s">
        <v>294</v>
      </c>
      <c r="R10" s="14">
        <v>22</v>
      </c>
      <c r="S10" s="14">
        <v>100</v>
      </c>
      <c r="T10" s="14" t="s">
        <v>306</v>
      </c>
      <c r="U10" s="14" t="s">
        <v>312</v>
      </c>
      <c r="V10" s="14">
        <v>0</v>
      </c>
      <c r="W10" s="14" t="s">
        <v>323</v>
      </c>
      <c r="X10" s="14">
        <v>62</v>
      </c>
      <c r="Y10" s="14">
        <v>100</v>
      </c>
      <c r="Z10" s="14">
        <v>90</v>
      </c>
      <c r="AA10" s="14">
        <v>0.99</v>
      </c>
      <c r="AB10" s="14">
        <v>0</v>
      </c>
      <c r="AC10" s="14">
        <v>16</v>
      </c>
      <c r="AD10" s="14">
        <v>18</v>
      </c>
      <c r="AE10" s="14">
        <v>55</v>
      </c>
      <c r="AF10" s="14">
        <v>5</v>
      </c>
      <c r="AG10" s="14">
        <v>3</v>
      </c>
      <c r="AH10" s="14">
        <v>27</v>
      </c>
      <c r="AI10" s="14">
        <v>61</v>
      </c>
      <c r="AJ10" s="14">
        <v>65</v>
      </c>
      <c r="AK10" s="14">
        <v>125</v>
      </c>
      <c r="AL10" s="14" t="s">
        <v>365</v>
      </c>
      <c r="AM10" s="14">
        <v>3.2</v>
      </c>
      <c r="AN10" s="14">
        <v>5</v>
      </c>
      <c r="AO10" s="14">
        <v>98</v>
      </c>
      <c r="AP10" s="14">
        <v>2</v>
      </c>
      <c r="AQ10" s="14">
        <v>0</v>
      </c>
      <c r="AR10" s="14">
        <v>0</v>
      </c>
      <c r="AS10" s="14">
        <v>0</v>
      </c>
      <c r="AT10" s="14" t="s">
        <v>532</v>
      </c>
      <c r="AU10" s="14" t="s">
        <v>534</v>
      </c>
      <c r="AV10" s="14" t="s">
        <v>36</v>
      </c>
      <c r="AW10" s="14" t="s">
        <v>36</v>
      </c>
      <c r="AX10" s="14" t="s">
        <v>36</v>
      </c>
      <c r="AY10" s="14" t="s">
        <v>36</v>
      </c>
      <c r="AZ10" s="14" t="s">
        <v>36</v>
      </c>
      <c r="BA10" s="14" t="s">
        <v>36</v>
      </c>
      <c r="BB10" s="14" t="s">
        <v>36</v>
      </c>
      <c r="BC10" s="14" t="s">
        <v>36</v>
      </c>
      <c r="BD10" s="14" t="s">
        <v>36</v>
      </c>
      <c r="BE10" s="14" t="s">
        <v>36</v>
      </c>
      <c r="BF10" s="41">
        <v>68.45999999999999</v>
      </c>
      <c r="BG10" s="41" t="s">
        <v>60</v>
      </c>
      <c r="BH10" s="41" t="s">
        <v>868</v>
      </c>
      <c r="BI10" s="41">
        <v>25</v>
      </c>
      <c r="BJ10" s="41" t="s">
        <v>36</v>
      </c>
      <c r="BK10" s="41">
        <v>93.45999999999999</v>
      </c>
      <c r="BL10" s="41">
        <v>100</v>
      </c>
      <c r="BM10" s="41">
        <v>100</v>
      </c>
      <c r="BN10" s="41">
        <v>82</v>
      </c>
      <c r="BO10" s="41">
        <v>96</v>
      </c>
      <c r="BP10" s="41">
        <v>100</v>
      </c>
    </row>
    <row r="11" spans="1:71">
      <c r="A11" s="5" t="s">
        <v>869</v>
      </c>
      <c r="B11" s="5" t="s">
        <v>870</v>
      </c>
      <c r="C11" s="14"/>
      <c r="D11" s="14"/>
      <c r="E11" s="14" t="s">
        <v>34</v>
      </c>
      <c r="F11" s="14">
        <v>8</v>
      </c>
      <c r="G11" s="14">
        <v>85</v>
      </c>
      <c r="H11" s="14" t="s">
        <v>259</v>
      </c>
      <c r="I11" s="14">
        <v>35</v>
      </c>
      <c r="J11" s="14" t="s">
        <v>268</v>
      </c>
      <c r="K11" s="14">
        <v>100</v>
      </c>
      <c r="L11" s="14" t="s">
        <v>277</v>
      </c>
      <c r="M11" s="14" t="s">
        <v>283</v>
      </c>
      <c r="N11" s="14" t="s">
        <v>289</v>
      </c>
      <c r="O11" s="14">
        <v>100</v>
      </c>
      <c r="P11" s="14" t="s">
        <v>294</v>
      </c>
      <c r="Q11" s="14" t="s">
        <v>294</v>
      </c>
      <c r="R11" s="14">
        <v>22</v>
      </c>
      <c r="S11" s="14">
        <v>100</v>
      </c>
      <c r="T11" s="14" t="s">
        <v>306</v>
      </c>
      <c r="U11" s="14" t="s">
        <v>312</v>
      </c>
      <c r="V11" s="14">
        <v>0</v>
      </c>
      <c r="W11" s="14" t="s">
        <v>323</v>
      </c>
      <c r="X11" s="14">
        <v>62</v>
      </c>
      <c r="Y11" s="14">
        <v>100</v>
      </c>
      <c r="Z11" s="14">
        <v>90</v>
      </c>
      <c r="AA11" s="14"/>
      <c r="AB11" s="14">
        <v>0</v>
      </c>
      <c r="AC11" s="14">
        <v>16</v>
      </c>
      <c r="AD11" s="14">
        <v>18</v>
      </c>
      <c r="AE11" s="14">
        <v>55</v>
      </c>
      <c r="AF11" s="14">
        <v>5</v>
      </c>
      <c r="AG11" s="14">
        <v>3</v>
      </c>
      <c r="AH11" s="14">
        <v>27</v>
      </c>
      <c r="AI11" s="14">
        <v>61</v>
      </c>
      <c r="AJ11" s="14">
        <v>65</v>
      </c>
      <c r="AK11" s="14">
        <v>125</v>
      </c>
      <c r="AL11" s="14" t="s">
        <v>365</v>
      </c>
      <c r="AM11" s="14">
        <v>3.2</v>
      </c>
      <c r="AN11" s="14">
        <v>5</v>
      </c>
      <c r="AO11" s="14">
        <v>98</v>
      </c>
      <c r="AP11" s="14">
        <v>2</v>
      </c>
      <c r="AQ11" s="14">
        <v>0</v>
      </c>
      <c r="AR11" s="14">
        <v>0</v>
      </c>
      <c r="AS11" s="14">
        <v>0</v>
      </c>
      <c r="AT11" s="14" t="s">
        <v>532</v>
      </c>
      <c r="AU11" s="14" t="s">
        <v>534</v>
      </c>
      <c r="AV11" s="14" t="s">
        <v>36</v>
      </c>
      <c r="AW11" s="14" t="s">
        <v>36</v>
      </c>
      <c r="AX11" s="14" t="s">
        <v>36</v>
      </c>
      <c r="AY11" s="14" t="s">
        <v>36</v>
      </c>
      <c r="AZ11" s="14" t="s">
        <v>36</v>
      </c>
      <c r="BA11" s="14" t="s">
        <v>36</v>
      </c>
      <c r="BB11" s="14" t="s">
        <v>36</v>
      </c>
      <c r="BC11" s="14" t="s">
        <v>36</v>
      </c>
      <c r="BD11" s="14" t="s">
        <v>36</v>
      </c>
      <c r="BE11" s="14" t="s">
        <v>36</v>
      </c>
      <c r="BF11" s="41">
        <v>68.45999999999999</v>
      </c>
      <c r="BG11" s="41" t="s">
        <v>66</v>
      </c>
      <c r="BH11" s="41" t="s">
        <v>67</v>
      </c>
      <c r="BI11" s="41">
        <v>25</v>
      </c>
      <c r="BJ11" s="41" t="s">
        <v>41</v>
      </c>
      <c r="BK11" s="41">
        <v>93.45999999999999</v>
      </c>
      <c r="BL11" s="41">
        <v>100</v>
      </c>
      <c r="BM11" s="41">
        <v>100</v>
      </c>
      <c r="BN11" s="41">
        <v>82</v>
      </c>
      <c r="BO11" s="41">
        <v>96</v>
      </c>
      <c r="BP11" s="41">
        <v>100</v>
      </c>
    </row>
    <row r="12" spans="1:71">
      <c r="A12" s="5" t="s">
        <v>871</v>
      </c>
      <c r="B12" s="5" t="s">
        <v>872</v>
      </c>
      <c r="C12" s="14"/>
      <c r="D12" s="14"/>
      <c r="E12" s="14" t="s">
        <v>39</v>
      </c>
      <c r="F12" s="14">
        <v>8</v>
      </c>
      <c r="G12" s="14">
        <v>85</v>
      </c>
      <c r="H12" s="14" t="s">
        <v>259</v>
      </c>
      <c r="I12" s="14">
        <v>35</v>
      </c>
      <c r="J12" s="14" t="s">
        <v>268</v>
      </c>
      <c r="K12" s="14">
        <v>100</v>
      </c>
      <c r="L12" s="14" t="s">
        <v>277</v>
      </c>
      <c r="M12" s="14" t="s">
        <v>283</v>
      </c>
      <c r="N12" s="14" t="s">
        <v>289</v>
      </c>
      <c r="O12" s="14">
        <v>100</v>
      </c>
      <c r="P12" s="14" t="s">
        <v>294</v>
      </c>
      <c r="Q12" s="14" t="s">
        <v>294</v>
      </c>
      <c r="R12" s="14">
        <v>22</v>
      </c>
      <c r="S12" s="14">
        <v>100</v>
      </c>
      <c r="T12" s="14" t="s">
        <v>306</v>
      </c>
      <c r="U12" s="14" t="s">
        <v>312</v>
      </c>
      <c r="V12" s="14">
        <v>0</v>
      </c>
      <c r="W12" s="14" t="s">
        <v>323</v>
      </c>
      <c r="X12" s="14">
        <v>62</v>
      </c>
      <c r="Y12" s="14">
        <v>100</v>
      </c>
      <c r="Z12" s="14">
        <v>90</v>
      </c>
      <c r="AA12" s="14">
        <v>1.35</v>
      </c>
      <c r="AB12" s="14">
        <v>0</v>
      </c>
      <c r="AC12" s="14">
        <v>16</v>
      </c>
      <c r="AD12" s="14">
        <v>18</v>
      </c>
      <c r="AE12" s="14">
        <v>55</v>
      </c>
      <c r="AF12" s="14">
        <v>5</v>
      </c>
      <c r="AG12" s="14">
        <v>3</v>
      </c>
      <c r="AH12" s="14">
        <v>27</v>
      </c>
      <c r="AI12" s="14">
        <v>61</v>
      </c>
      <c r="AJ12" s="14">
        <v>65</v>
      </c>
      <c r="AK12" s="14">
        <v>125</v>
      </c>
      <c r="AL12" s="14" t="s">
        <v>365</v>
      </c>
      <c r="AM12" s="14">
        <v>3.2</v>
      </c>
      <c r="AN12" s="14">
        <v>5</v>
      </c>
      <c r="AO12" s="14">
        <v>98</v>
      </c>
      <c r="AP12" s="14">
        <v>2</v>
      </c>
      <c r="AQ12" s="14">
        <v>0</v>
      </c>
      <c r="AR12" s="14">
        <v>0</v>
      </c>
      <c r="AS12" s="14">
        <v>0</v>
      </c>
      <c r="AT12" s="14" t="s">
        <v>532</v>
      </c>
      <c r="AU12" s="14" t="s">
        <v>534</v>
      </c>
      <c r="AV12" s="14" t="s">
        <v>36</v>
      </c>
      <c r="AW12" s="14" t="s">
        <v>36</v>
      </c>
      <c r="AX12" s="14" t="s">
        <v>36</v>
      </c>
      <c r="AY12" s="14" t="s">
        <v>36</v>
      </c>
      <c r="AZ12" s="14" t="s">
        <v>36</v>
      </c>
      <c r="BA12" s="14" t="s">
        <v>36</v>
      </c>
      <c r="BB12" s="14" t="s">
        <v>36</v>
      </c>
      <c r="BC12" s="14" t="s">
        <v>36</v>
      </c>
      <c r="BD12" s="14" t="s">
        <v>36</v>
      </c>
      <c r="BE12" s="14" t="s">
        <v>36</v>
      </c>
      <c r="BF12" s="41">
        <v>69.33</v>
      </c>
      <c r="BG12" s="41" t="s">
        <v>64</v>
      </c>
      <c r="BH12" s="41" t="s">
        <v>31</v>
      </c>
      <c r="BI12" s="41">
        <v>0</v>
      </c>
      <c r="BJ12" s="41" t="s">
        <v>36</v>
      </c>
      <c r="BK12" s="41">
        <v>99.04000000000001</v>
      </c>
      <c r="BL12" s="41">
        <v>100</v>
      </c>
      <c r="BM12" s="41">
        <v>100</v>
      </c>
      <c r="BN12" s="41">
        <v>100</v>
      </c>
      <c r="BO12" s="41">
        <v>96</v>
      </c>
      <c r="BP12" s="41">
        <v>100</v>
      </c>
    </row>
    <row r="13" spans="1:71">
      <c r="A13" s="5" t="s">
        <v>873</v>
      </c>
      <c r="B13" s="5" t="s">
        <v>874</v>
      </c>
      <c r="C13" s="14"/>
      <c r="D13" s="14"/>
      <c r="E13" s="14" t="s">
        <v>46</v>
      </c>
      <c r="F13" s="14">
        <v>8</v>
      </c>
      <c r="G13" s="14">
        <v>85</v>
      </c>
      <c r="H13" s="14" t="s">
        <v>259</v>
      </c>
      <c r="I13" s="14">
        <v>35</v>
      </c>
      <c r="J13" s="14" t="s">
        <v>268</v>
      </c>
      <c r="K13" s="14">
        <v>100</v>
      </c>
      <c r="L13" s="14" t="s">
        <v>277</v>
      </c>
      <c r="M13" s="14" t="s">
        <v>283</v>
      </c>
      <c r="N13" s="14" t="s">
        <v>289</v>
      </c>
      <c r="O13" s="14">
        <v>100</v>
      </c>
      <c r="P13" s="14" t="s">
        <v>294</v>
      </c>
      <c r="Q13" s="14" t="s">
        <v>294</v>
      </c>
      <c r="R13" s="14">
        <v>22</v>
      </c>
      <c r="S13" s="14">
        <v>100</v>
      </c>
      <c r="T13" s="14" t="s">
        <v>306</v>
      </c>
      <c r="U13" s="14" t="s">
        <v>312</v>
      </c>
      <c r="V13" s="14">
        <v>0</v>
      </c>
      <c r="W13" s="14" t="s">
        <v>323</v>
      </c>
      <c r="X13" s="14">
        <v>62</v>
      </c>
      <c r="Y13" s="14">
        <v>100</v>
      </c>
      <c r="Z13" s="14">
        <v>90</v>
      </c>
      <c r="AA13" s="14">
        <v>1.35</v>
      </c>
      <c r="AB13" s="14">
        <v>0</v>
      </c>
      <c r="AC13" s="14">
        <v>16</v>
      </c>
      <c r="AD13" s="14">
        <v>18</v>
      </c>
      <c r="AE13" s="14">
        <v>55</v>
      </c>
      <c r="AF13" s="14">
        <v>5</v>
      </c>
      <c r="AG13" s="14">
        <v>3</v>
      </c>
      <c r="AH13" s="14">
        <v>27</v>
      </c>
      <c r="AI13" s="14">
        <v>61</v>
      </c>
      <c r="AJ13" s="14">
        <v>65</v>
      </c>
      <c r="AK13" s="14">
        <v>125</v>
      </c>
      <c r="AL13" s="14" t="s">
        <v>365</v>
      </c>
      <c r="AM13" s="14">
        <v>3.2</v>
      </c>
      <c r="AN13" s="14">
        <v>5</v>
      </c>
      <c r="AO13" s="14">
        <v>98</v>
      </c>
      <c r="AP13" s="14">
        <v>2</v>
      </c>
      <c r="AQ13" s="14">
        <v>0</v>
      </c>
      <c r="AR13" s="14">
        <v>0</v>
      </c>
      <c r="AS13" s="14">
        <v>0</v>
      </c>
      <c r="AT13" s="14" t="s">
        <v>532</v>
      </c>
      <c r="AU13" s="14" t="s">
        <v>534</v>
      </c>
      <c r="AV13" s="14" t="s">
        <v>36</v>
      </c>
      <c r="AW13" s="14" t="s">
        <v>36</v>
      </c>
      <c r="AX13" s="14" t="s">
        <v>36</v>
      </c>
      <c r="AY13" s="14" t="s">
        <v>36</v>
      </c>
      <c r="AZ13" s="14" t="s">
        <v>36</v>
      </c>
      <c r="BA13" s="14" t="s">
        <v>36</v>
      </c>
      <c r="BB13" s="14" t="s">
        <v>36</v>
      </c>
      <c r="BC13" s="14" t="s">
        <v>36</v>
      </c>
      <c r="BD13" s="14" t="s">
        <v>36</v>
      </c>
      <c r="BE13" s="14" t="s">
        <v>36</v>
      </c>
      <c r="BF13" s="41">
        <v>0</v>
      </c>
      <c r="BG13" s="41" t="s">
        <v>64</v>
      </c>
      <c r="BH13" s="41" t="s">
        <v>865</v>
      </c>
      <c r="BI13" s="41">
        <v>0</v>
      </c>
      <c r="BJ13" s="41" t="s">
        <v>36</v>
      </c>
      <c r="BK13" s="41">
        <v>99.04000000000001</v>
      </c>
      <c r="BL13" s="41">
        <v>100</v>
      </c>
      <c r="BM13" s="41">
        <v>100</v>
      </c>
      <c r="BN13" s="41">
        <v>100</v>
      </c>
      <c r="BO13" s="41">
        <v>96</v>
      </c>
      <c r="BP13" s="41">
        <v>100</v>
      </c>
    </row>
    <row r="14" spans="1:71">
      <c r="A14" s="5" t="s">
        <v>875</v>
      </c>
      <c r="B14" s="5" t="s">
        <v>876</v>
      </c>
      <c r="C14" s="14"/>
      <c r="D14" s="14"/>
      <c r="E14" s="14" t="s">
        <v>37</v>
      </c>
      <c r="F14" s="14">
        <v>8</v>
      </c>
      <c r="G14" s="14">
        <v>85</v>
      </c>
      <c r="H14" s="14" t="s">
        <v>259</v>
      </c>
      <c r="I14" s="14">
        <v>35</v>
      </c>
      <c r="J14" s="14" t="s">
        <v>268</v>
      </c>
      <c r="K14" s="14">
        <v>100</v>
      </c>
      <c r="L14" s="14" t="s">
        <v>277</v>
      </c>
      <c r="M14" s="14" t="s">
        <v>283</v>
      </c>
      <c r="N14" s="14" t="s">
        <v>289</v>
      </c>
      <c r="O14" s="14">
        <v>100</v>
      </c>
      <c r="P14" s="14" t="s">
        <v>294</v>
      </c>
      <c r="Q14" s="14" t="s">
        <v>294</v>
      </c>
      <c r="R14" s="14">
        <v>22</v>
      </c>
      <c r="S14" s="14">
        <v>100</v>
      </c>
      <c r="T14" s="14" t="s">
        <v>306</v>
      </c>
      <c r="U14" s="14" t="s">
        <v>312</v>
      </c>
      <c r="V14" s="14">
        <v>0</v>
      </c>
      <c r="W14" s="14" t="s">
        <v>323</v>
      </c>
      <c r="X14" s="14">
        <v>62</v>
      </c>
      <c r="Y14" s="14">
        <v>100</v>
      </c>
      <c r="Z14" s="14">
        <v>90</v>
      </c>
      <c r="AA14" s="14">
        <v>1.35</v>
      </c>
      <c r="AB14" s="14">
        <v>0</v>
      </c>
      <c r="AC14" s="14">
        <v>16</v>
      </c>
      <c r="AD14" s="14">
        <v>18</v>
      </c>
      <c r="AE14" s="14">
        <v>55</v>
      </c>
      <c r="AF14" s="14">
        <v>5</v>
      </c>
      <c r="AG14" s="14">
        <v>3</v>
      </c>
      <c r="AH14" s="14">
        <v>27</v>
      </c>
      <c r="AI14" s="14">
        <v>61</v>
      </c>
      <c r="AJ14" s="14">
        <v>65</v>
      </c>
      <c r="AK14" s="14">
        <v>125</v>
      </c>
      <c r="AL14" s="14" t="s">
        <v>365</v>
      </c>
      <c r="AM14" s="14">
        <v>3.2</v>
      </c>
      <c r="AN14" s="14">
        <v>5</v>
      </c>
      <c r="AO14" s="14">
        <v>98</v>
      </c>
      <c r="AP14" s="14">
        <v>2</v>
      </c>
      <c r="AQ14" s="14">
        <v>0</v>
      </c>
      <c r="AR14" s="14">
        <v>0</v>
      </c>
      <c r="AS14" s="14">
        <v>0</v>
      </c>
      <c r="AT14" s="14" t="s">
        <v>532</v>
      </c>
      <c r="AU14" s="14" t="s">
        <v>534</v>
      </c>
      <c r="AV14" s="14" t="s">
        <v>36</v>
      </c>
      <c r="AW14" s="14" t="s">
        <v>36</v>
      </c>
      <c r="AX14" s="14" t="s">
        <v>36</v>
      </c>
      <c r="AY14" s="14" t="s">
        <v>36</v>
      </c>
      <c r="AZ14" s="14" t="s">
        <v>36</v>
      </c>
      <c r="BA14" s="14" t="s">
        <v>36</v>
      </c>
      <c r="BB14" s="14" t="s">
        <v>36</v>
      </c>
      <c r="BC14" s="14" t="s">
        <v>36</v>
      </c>
      <c r="BD14" s="14" t="s">
        <v>36</v>
      </c>
      <c r="BE14" s="14" t="s">
        <v>36</v>
      </c>
      <c r="BF14" s="41">
        <v>89.14</v>
      </c>
      <c r="BG14" s="41" t="s">
        <v>58</v>
      </c>
      <c r="BH14" s="41" t="s">
        <v>855</v>
      </c>
      <c r="BI14" s="41">
        <v>0</v>
      </c>
      <c r="BJ14" s="41" t="s">
        <v>36</v>
      </c>
      <c r="BK14" s="41">
        <v>99.04000000000001</v>
      </c>
      <c r="BL14" s="41">
        <v>100</v>
      </c>
      <c r="BM14" s="41">
        <v>100</v>
      </c>
      <c r="BN14" s="41">
        <v>100</v>
      </c>
      <c r="BO14" s="41">
        <v>96</v>
      </c>
      <c r="BP14" s="41">
        <v>100</v>
      </c>
    </row>
    <row r="15" spans="1:71">
      <c r="A15" s="5" t="s">
        <v>877</v>
      </c>
      <c r="B15" s="5" t="s">
        <v>878</v>
      </c>
      <c r="C15" s="14"/>
      <c r="D15" s="14"/>
      <c r="E15" s="14" t="s">
        <v>34</v>
      </c>
      <c r="F15" s="14">
        <v>8</v>
      </c>
      <c r="G15" s="14">
        <v>85</v>
      </c>
      <c r="H15" s="14" t="s">
        <v>259</v>
      </c>
      <c r="I15" s="14">
        <v>35</v>
      </c>
      <c r="J15" s="14" t="s">
        <v>268</v>
      </c>
      <c r="K15" s="14">
        <v>50</v>
      </c>
      <c r="L15" s="14" t="s">
        <v>277</v>
      </c>
      <c r="M15" s="14" t="s">
        <v>283</v>
      </c>
      <c r="N15" s="14" t="s">
        <v>289</v>
      </c>
      <c r="O15" s="14">
        <v>100</v>
      </c>
      <c r="P15" s="14" t="s">
        <v>294</v>
      </c>
      <c r="Q15" s="14" t="s">
        <v>294</v>
      </c>
      <c r="R15" s="14">
        <v>22</v>
      </c>
      <c r="S15" s="14">
        <v>100</v>
      </c>
      <c r="T15" s="14" t="s">
        <v>306</v>
      </c>
      <c r="U15" s="14" t="s">
        <v>312</v>
      </c>
      <c r="V15" s="14">
        <v>0</v>
      </c>
      <c r="W15" s="14" t="s">
        <v>323</v>
      </c>
      <c r="X15" s="14">
        <v>62</v>
      </c>
      <c r="Y15" s="14">
        <v>100</v>
      </c>
      <c r="Z15" s="14">
        <v>90</v>
      </c>
      <c r="AA15" s="14">
        <v>1.35</v>
      </c>
      <c r="AB15" s="14">
        <v>0</v>
      </c>
      <c r="AC15" s="14">
        <v>16</v>
      </c>
      <c r="AD15" s="14">
        <v>18</v>
      </c>
      <c r="AE15" s="14">
        <v>55</v>
      </c>
      <c r="AF15" s="14">
        <v>5</v>
      </c>
      <c r="AG15" s="14">
        <v>3</v>
      </c>
      <c r="AH15" s="14">
        <v>27</v>
      </c>
      <c r="AI15" s="14">
        <v>61</v>
      </c>
      <c r="AJ15" s="14">
        <v>65</v>
      </c>
      <c r="AK15" s="14">
        <v>125</v>
      </c>
      <c r="AL15" s="14" t="s">
        <v>365</v>
      </c>
      <c r="AM15" s="14">
        <v>3.2</v>
      </c>
      <c r="AN15" s="14">
        <v>5</v>
      </c>
      <c r="AO15" s="14">
        <v>98</v>
      </c>
      <c r="AP15" s="14">
        <v>2</v>
      </c>
      <c r="AQ15" s="14">
        <v>0</v>
      </c>
      <c r="AR15" s="14">
        <v>0</v>
      </c>
      <c r="AS15" s="14">
        <v>0</v>
      </c>
      <c r="AT15" s="14" t="s">
        <v>532</v>
      </c>
      <c r="AU15" s="14" t="s">
        <v>534</v>
      </c>
      <c r="AV15" s="14" t="s">
        <v>36</v>
      </c>
      <c r="AW15" s="14" t="s">
        <v>36</v>
      </c>
      <c r="AX15" s="14" t="s">
        <v>36</v>
      </c>
      <c r="AY15" s="14" t="s">
        <v>36</v>
      </c>
      <c r="AZ15" s="14" t="s">
        <v>36</v>
      </c>
      <c r="BA15" s="14" t="s">
        <v>36</v>
      </c>
      <c r="BB15" s="14" t="s">
        <v>36</v>
      </c>
      <c r="BC15" s="14" t="s">
        <v>36</v>
      </c>
      <c r="BD15" s="14" t="s">
        <v>36</v>
      </c>
      <c r="BE15" s="14" t="s">
        <v>36</v>
      </c>
      <c r="BF15" s="41">
        <v>95.67</v>
      </c>
      <c r="BG15" s="41" t="s">
        <v>64</v>
      </c>
      <c r="BH15" s="41" t="s">
        <v>855</v>
      </c>
      <c r="BI15" s="41">
        <v>0</v>
      </c>
      <c r="BJ15" s="41" t="s">
        <v>36</v>
      </c>
      <c r="BK15" s="41">
        <v>95.67</v>
      </c>
      <c r="BL15" s="41">
        <v>86.5</v>
      </c>
      <c r="BM15" s="41">
        <v>100</v>
      </c>
      <c r="BN15" s="41">
        <v>100</v>
      </c>
      <c r="BO15" s="41">
        <v>96</v>
      </c>
      <c r="BP15" s="41">
        <v>100</v>
      </c>
    </row>
    <row r="16" spans="1:71">
      <c r="A16" s="5" t="s">
        <v>879</v>
      </c>
      <c r="B16" s="5" t="s">
        <v>835</v>
      </c>
      <c r="C16" s="14"/>
      <c r="D16" s="14"/>
      <c r="E16" s="14" t="s">
        <v>34</v>
      </c>
      <c r="F16" s="14">
        <v>8</v>
      </c>
      <c r="G16" s="14">
        <v>85</v>
      </c>
      <c r="H16" s="14" t="s">
        <v>259</v>
      </c>
      <c r="I16" s="14">
        <v>35</v>
      </c>
      <c r="J16" s="14" t="s">
        <v>268</v>
      </c>
      <c r="K16" s="14">
        <v>100</v>
      </c>
      <c r="L16" s="14" t="s">
        <v>277</v>
      </c>
      <c r="M16" s="14" t="s">
        <v>283</v>
      </c>
      <c r="N16" s="14" t="s">
        <v>289</v>
      </c>
      <c r="O16" s="14">
        <v>100</v>
      </c>
      <c r="P16" s="14" t="s">
        <v>294</v>
      </c>
      <c r="Q16" s="14" t="s">
        <v>294</v>
      </c>
      <c r="R16" s="14">
        <v>22</v>
      </c>
      <c r="S16" s="14">
        <v>100</v>
      </c>
      <c r="T16" s="14" t="s">
        <v>306</v>
      </c>
      <c r="U16" s="14" t="s">
        <v>312</v>
      </c>
      <c r="V16" s="14">
        <v>0</v>
      </c>
      <c r="W16" s="14" t="s">
        <v>323</v>
      </c>
      <c r="X16" s="14">
        <v>62</v>
      </c>
      <c r="Y16" s="14">
        <v>100</v>
      </c>
      <c r="Z16" s="14">
        <v>90</v>
      </c>
      <c r="AA16" s="14">
        <v>1.35</v>
      </c>
      <c r="AB16" s="14">
        <v>0</v>
      </c>
      <c r="AC16" s="14">
        <v>16</v>
      </c>
      <c r="AD16" s="14">
        <v>18</v>
      </c>
      <c r="AE16" s="14">
        <v>55</v>
      </c>
      <c r="AF16" s="14">
        <v>5</v>
      </c>
      <c r="AG16" s="14">
        <v>3</v>
      </c>
      <c r="AH16" s="14">
        <v>27</v>
      </c>
      <c r="AI16" s="14">
        <v>61</v>
      </c>
      <c r="AJ16" s="14">
        <v>65</v>
      </c>
      <c r="AK16" s="14">
        <v>125</v>
      </c>
      <c r="AL16" s="14" t="s">
        <v>363</v>
      </c>
      <c r="AM16" s="14">
        <v>3.2</v>
      </c>
      <c r="AN16" s="14">
        <v>5</v>
      </c>
      <c r="AO16" s="14">
        <v>98</v>
      </c>
      <c r="AP16" s="14">
        <v>2</v>
      </c>
      <c r="AQ16" s="14">
        <v>0</v>
      </c>
      <c r="AR16" s="14">
        <v>0</v>
      </c>
      <c r="AS16" s="14">
        <v>0</v>
      </c>
      <c r="AT16" s="14" t="s">
        <v>455</v>
      </c>
      <c r="AU16" s="14" t="s">
        <v>534</v>
      </c>
      <c r="AV16" s="14" t="s">
        <v>36</v>
      </c>
      <c r="AW16" s="14" t="s">
        <v>36</v>
      </c>
      <c r="AX16" s="14" t="s">
        <v>36</v>
      </c>
      <c r="AY16" s="14" t="s">
        <v>36</v>
      </c>
      <c r="AZ16" s="14" t="s">
        <v>36</v>
      </c>
      <c r="BA16" s="14" t="s">
        <v>36</v>
      </c>
      <c r="BB16" s="14" t="s">
        <v>36</v>
      </c>
      <c r="BC16" s="14" t="s">
        <v>36</v>
      </c>
      <c r="BD16" s="14" t="s">
        <v>36</v>
      </c>
      <c r="BE16" s="14" t="s">
        <v>36</v>
      </c>
      <c r="BF16" s="41">
        <v>46.88</v>
      </c>
      <c r="BG16" s="41" t="s">
        <v>64</v>
      </c>
      <c r="BH16" s="41" t="s">
        <v>862</v>
      </c>
      <c r="BI16" s="41">
        <v>50</v>
      </c>
      <c r="BJ16" s="41" t="s">
        <v>36</v>
      </c>
      <c r="BK16" s="41">
        <v>96.88</v>
      </c>
      <c r="BL16" s="41">
        <v>100</v>
      </c>
      <c r="BM16" s="41">
        <v>100</v>
      </c>
      <c r="BN16" s="41">
        <v>100</v>
      </c>
      <c r="BO16" s="41">
        <v>87</v>
      </c>
      <c r="BP16" s="41">
        <v>83.64</v>
      </c>
    </row>
    <row r="17" spans="1:68">
      <c r="A17" s="5" t="s">
        <v>880</v>
      </c>
      <c r="B17" s="5" t="s">
        <v>881</v>
      </c>
      <c r="C17" s="14" t="s">
        <v>882</v>
      </c>
      <c r="D17" s="14" t="s">
        <v>883</v>
      </c>
      <c r="E17" s="14" t="s">
        <v>34</v>
      </c>
      <c r="F17" s="14">
        <v>8</v>
      </c>
      <c r="G17" s="14">
        <v>85</v>
      </c>
      <c r="H17" s="14" t="s">
        <v>259</v>
      </c>
      <c r="I17" s="14">
        <v>35</v>
      </c>
      <c r="J17" s="14" t="s">
        <v>268</v>
      </c>
      <c r="K17" s="14">
        <v>100</v>
      </c>
      <c r="L17" s="14" t="s">
        <v>277</v>
      </c>
      <c r="M17" s="14" t="s">
        <v>283</v>
      </c>
      <c r="N17" s="14" t="s">
        <v>289</v>
      </c>
      <c r="O17" s="14">
        <v>100</v>
      </c>
      <c r="P17" s="14" t="s">
        <v>294</v>
      </c>
      <c r="Q17" s="14" t="s">
        <v>294</v>
      </c>
      <c r="R17" s="14">
        <v>22</v>
      </c>
      <c r="S17" s="14">
        <v>100</v>
      </c>
      <c r="T17" s="14" t="s">
        <v>306</v>
      </c>
      <c r="U17" s="14" t="s">
        <v>312</v>
      </c>
      <c r="V17" s="14">
        <v>0</v>
      </c>
      <c r="W17" s="14" t="s">
        <v>323</v>
      </c>
      <c r="X17" s="14">
        <v>62</v>
      </c>
      <c r="Y17" s="14">
        <v>100</v>
      </c>
      <c r="Z17" s="14">
        <v>90</v>
      </c>
      <c r="AA17" s="14">
        <v>1.35</v>
      </c>
      <c r="AB17" s="14">
        <v>0</v>
      </c>
      <c r="AC17" s="14">
        <v>16</v>
      </c>
      <c r="AD17" s="14">
        <v>18</v>
      </c>
      <c r="AE17" s="14">
        <v>55</v>
      </c>
      <c r="AF17" s="14">
        <v>5</v>
      </c>
      <c r="AG17" s="14">
        <v>3</v>
      </c>
      <c r="AH17" s="14">
        <v>27</v>
      </c>
      <c r="AI17" s="14">
        <v>61</v>
      </c>
      <c r="AJ17" s="14">
        <v>65</v>
      </c>
      <c r="AK17" s="14">
        <v>125</v>
      </c>
      <c r="AL17" s="14" t="s">
        <v>365</v>
      </c>
      <c r="AM17" s="14">
        <v>3.2</v>
      </c>
      <c r="AN17" s="14">
        <v>5</v>
      </c>
      <c r="AO17" s="14">
        <v>98</v>
      </c>
      <c r="AP17" s="14">
        <v>2</v>
      </c>
      <c r="AQ17" s="14">
        <v>0</v>
      </c>
      <c r="AR17" s="14">
        <v>0</v>
      </c>
      <c r="AS17" s="14">
        <v>0</v>
      </c>
      <c r="AT17" s="14" t="s">
        <v>532</v>
      </c>
      <c r="AU17" s="14" t="s">
        <v>534</v>
      </c>
      <c r="AV17" s="14" t="s">
        <v>36</v>
      </c>
      <c r="AW17" s="14" t="s">
        <v>36</v>
      </c>
      <c r="AX17" s="14" t="s">
        <v>36</v>
      </c>
      <c r="AY17" s="14" t="s">
        <v>36</v>
      </c>
      <c r="AZ17" s="14" t="s">
        <v>36</v>
      </c>
      <c r="BA17" s="14" t="s">
        <v>36</v>
      </c>
      <c r="BB17" s="14" t="s">
        <v>36</v>
      </c>
      <c r="BC17" s="14" t="s">
        <v>36</v>
      </c>
      <c r="BD17" s="14" t="s">
        <v>36</v>
      </c>
      <c r="BE17" s="14" t="s">
        <v>36</v>
      </c>
      <c r="BF17" s="41">
        <v>99.04000000000001</v>
      </c>
      <c r="BG17" s="41" t="s">
        <v>58</v>
      </c>
      <c r="BH17" s="41" t="s">
        <v>855</v>
      </c>
      <c r="BI17" s="41">
        <v>0</v>
      </c>
      <c r="BJ17" s="41" t="s">
        <v>36</v>
      </c>
      <c r="BK17" s="41">
        <v>99.04000000000001</v>
      </c>
      <c r="BL17" s="41">
        <v>100</v>
      </c>
      <c r="BM17" s="41">
        <v>100</v>
      </c>
      <c r="BN17" s="41">
        <v>100</v>
      </c>
      <c r="BO17" s="41">
        <v>96</v>
      </c>
      <c r="BP17" s="41">
        <v>100</v>
      </c>
    </row>
    <row r="18" spans="1:68">
      <c r="A18" s="5" t="s">
        <v>884</v>
      </c>
      <c r="B18" s="5" t="s">
        <v>885</v>
      </c>
      <c r="C18" s="14"/>
      <c r="D18" s="14"/>
      <c r="E18" s="14"/>
      <c r="F18" s="14">
        <v>8</v>
      </c>
      <c r="G18" s="14">
        <v>85</v>
      </c>
      <c r="H18" s="14" t="s">
        <v>259</v>
      </c>
      <c r="I18" s="14">
        <v>35</v>
      </c>
      <c r="J18" s="14" t="s">
        <v>268</v>
      </c>
      <c r="K18" s="14">
        <v>100</v>
      </c>
      <c r="L18" s="14" t="s">
        <v>277</v>
      </c>
      <c r="M18" s="14" t="s">
        <v>283</v>
      </c>
      <c r="N18" s="14" t="s">
        <v>289</v>
      </c>
      <c r="O18" s="14">
        <v>100</v>
      </c>
      <c r="P18" s="14" t="s">
        <v>294</v>
      </c>
      <c r="Q18" s="14" t="s">
        <v>294</v>
      </c>
      <c r="R18" s="14">
        <v>22</v>
      </c>
      <c r="S18" s="14">
        <v>100</v>
      </c>
      <c r="T18" s="14" t="s">
        <v>306</v>
      </c>
      <c r="U18" s="14" t="s">
        <v>312</v>
      </c>
      <c r="V18" s="14">
        <v>0</v>
      </c>
      <c r="W18" s="14" t="s">
        <v>323</v>
      </c>
      <c r="X18" s="14">
        <v>62</v>
      </c>
      <c r="Y18" s="14">
        <v>100</v>
      </c>
      <c r="Z18" s="14">
        <v>90</v>
      </c>
      <c r="AA18" s="14">
        <v>1.35</v>
      </c>
      <c r="AB18" s="14">
        <v>0</v>
      </c>
      <c r="AC18" s="14">
        <v>16</v>
      </c>
      <c r="AD18" s="14">
        <v>18</v>
      </c>
      <c r="AE18" s="14">
        <v>55</v>
      </c>
      <c r="AF18" s="14">
        <v>5</v>
      </c>
      <c r="AG18" s="14">
        <v>3</v>
      </c>
      <c r="AH18" s="14">
        <v>27</v>
      </c>
      <c r="AI18" s="14">
        <v>61</v>
      </c>
      <c r="AJ18" s="14">
        <v>65</v>
      </c>
      <c r="AK18" s="14">
        <v>125</v>
      </c>
      <c r="AL18" s="14" t="s">
        <v>365</v>
      </c>
      <c r="AM18" s="14">
        <v>3.2</v>
      </c>
      <c r="AN18" s="14">
        <v>5</v>
      </c>
      <c r="AO18" s="14">
        <v>98</v>
      </c>
      <c r="AP18" s="14">
        <v>2</v>
      </c>
      <c r="AQ18" s="14">
        <v>0</v>
      </c>
      <c r="AR18" s="14">
        <v>0</v>
      </c>
      <c r="AS18" s="14">
        <v>0</v>
      </c>
      <c r="AT18" s="14" t="s">
        <v>532</v>
      </c>
      <c r="AU18" s="14" t="s">
        <v>534</v>
      </c>
      <c r="AV18" s="14" t="s">
        <v>36</v>
      </c>
      <c r="AW18" s="14" t="s">
        <v>36</v>
      </c>
      <c r="AX18" s="14" t="s">
        <v>36</v>
      </c>
      <c r="AY18" s="14" t="s">
        <v>36</v>
      </c>
      <c r="AZ18" s="14" t="s">
        <v>36</v>
      </c>
      <c r="BA18" s="14" t="s">
        <v>36</v>
      </c>
      <c r="BB18" s="14" t="s">
        <v>36</v>
      </c>
      <c r="BC18" s="14" t="s">
        <v>36</v>
      </c>
      <c r="BD18" s="14" t="s">
        <v>36</v>
      </c>
      <c r="BE18" s="14" t="s">
        <v>36</v>
      </c>
      <c r="BF18" s="41">
        <v>99.04000000000001</v>
      </c>
      <c r="BG18" s="41" t="s">
        <v>66</v>
      </c>
      <c r="BH18" s="41" t="s">
        <v>67</v>
      </c>
      <c r="BI18" s="41">
        <v>0</v>
      </c>
      <c r="BJ18" s="41" t="s">
        <v>41</v>
      </c>
      <c r="BK18" s="41">
        <v>99.04000000000001</v>
      </c>
      <c r="BL18" s="41">
        <v>100</v>
      </c>
      <c r="BM18" s="41">
        <v>100</v>
      </c>
      <c r="BN18" s="41">
        <v>100</v>
      </c>
      <c r="BO18" s="41">
        <v>96</v>
      </c>
      <c r="BP18" s="41">
        <v>100</v>
      </c>
    </row>
    <row r="19" spans="1:68">
      <c r="A19" s="5" t="s">
        <v>886</v>
      </c>
      <c r="B19" s="5" t="s">
        <v>887</v>
      </c>
      <c r="C19" s="14"/>
      <c r="D19" s="14"/>
      <c r="E19" s="14" t="s">
        <v>34</v>
      </c>
      <c r="F19" s="14">
        <v>8</v>
      </c>
      <c r="G19" s="14">
        <v>85</v>
      </c>
      <c r="H19" s="14" t="s">
        <v>259</v>
      </c>
      <c r="I19" s="14">
        <v>35</v>
      </c>
      <c r="J19" s="14" t="s">
        <v>268</v>
      </c>
      <c r="K19" s="14">
        <v>100</v>
      </c>
      <c r="L19" s="14" t="s">
        <v>277</v>
      </c>
      <c r="M19" s="14" t="s">
        <v>283</v>
      </c>
      <c r="N19" s="14" t="s">
        <v>289</v>
      </c>
      <c r="O19" s="14">
        <v>100</v>
      </c>
      <c r="P19" s="14" t="s">
        <v>294</v>
      </c>
      <c r="Q19" s="14" t="s">
        <v>294</v>
      </c>
      <c r="R19" s="14">
        <v>22</v>
      </c>
      <c r="S19" s="14">
        <v>40</v>
      </c>
      <c r="T19" s="14" t="s">
        <v>306</v>
      </c>
      <c r="U19" s="14" t="s">
        <v>312</v>
      </c>
      <c r="V19" s="14">
        <v>0</v>
      </c>
      <c r="W19" s="14" t="s">
        <v>323</v>
      </c>
      <c r="X19" s="14">
        <v>62</v>
      </c>
      <c r="Y19" s="14">
        <v>100</v>
      </c>
      <c r="Z19" s="14">
        <v>90</v>
      </c>
      <c r="AA19" s="14">
        <v>1.35</v>
      </c>
      <c r="AB19" s="14">
        <v>0</v>
      </c>
      <c r="AC19" s="14">
        <v>16</v>
      </c>
      <c r="AD19" s="14">
        <v>18</v>
      </c>
      <c r="AE19" s="14">
        <v>55</v>
      </c>
      <c r="AF19" s="14">
        <v>5</v>
      </c>
      <c r="AG19" s="14">
        <v>3</v>
      </c>
      <c r="AH19" s="14">
        <v>27</v>
      </c>
      <c r="AI19" s="14">
        <v>61</v>
      </c>
      <c r="AJ19" s="14">
        <v>65</v>
      </c>
      <c r="AK19" s="14">
        <v>125</v>
      </c>
      <c r="AL19" s="14" t="s">
        <v>365</v>
      </c>
      <c r="AM19" s="14">
        <v>3.2</v>
      </c>
      <c r="AN19" s="14">
        <v>5</v>
      </c>
      <c r="AO19" s="14">
        <v>98</v>
      </c>
      <c r="AP19" s="14">
        <v>2</v>
      </c>
      <c r="AQ19" s="14">
        <v>0</v>
      </c>
      <c r="AR19" s="14">
        <v>0</v>
      </c>
      <c r="AS19" s="14">
        <v>0</v>
      </c>
      <c r="AT19" s="14" t="s">
        <v>532</v>
      </c>
      <c r="AU19" s="14" t="s">
        <v>534</v>
      </c>
      <c r="AV19" s="14" t="s">
        <v>36</v>
      </c>
      <c r="AW19" s="14" t="s">
        <v>36</v>
      </c>
      <c r="AX19" s="14" t="s">
        <v>41</v>
      </c>
      <c r="AY19" s="14" t="s">
        <v>36</v>
      </c>
      <c r="AZ19" s="14" t="s">
        <v>36</v>
      </c>
      <c r="BA19" s="14" t="s">
        <v>36</v>
      </c>
      <c r="BB19" s="14" t="s">
        <v>36</v>
      </c>
      <c r="BC19" s="14" t="s">
        <v>36</v>
      </c>
      <c r="BD19" s="14" t="s">
        <v>36</v>
      </c>
      <c r="BE19" s="14" t="s">
        <v>36</v>
      </c>
      <c r="BF19" s="41">
        <v>82.23999999999999</v>
      </c>
      <c r="BG19" s="41" t="s">
        <v>58</v>
      </c>
      <c r="BH19" s="41" t="s">
        <v>855</v>
      </c>
      <c r="BI19" s="41">
        <v>15</v>
      </c>
      <c r="BJ19" s="41" t="s">
        <v>36</v>
      </c>
      <c r="BK19" s="41">
        <v>97.23999999999999</v>
      </c>
      <c r="BL19" s="41">
        <v>100</v>
      </c>
      <c r="BM19" s="41">
        <v>91</v>
      </c>
      <c r="BN19" s="41">
        <v>100</v>
      </c>
      <c r="BO19" s="41">
        <v>96</v>
      </c>
      <c r="BP19" s="41">
        <v>100</v>
      </c>
    </row>
    <row r="20" spans="1:68">
      <c r="A20" s="5" t="s">
        <v>888</v>
      </c>
      <c r="B20" s="5" t="s">
        <v>889</v>
      </c>
      <c r="C20" s="14"/>
      <c r="D20" s="14"/>
      <c r="E20" s="14" t="s">
        <v>34</v>
      </c>
      <c r="F20" s="14">
        <v>8</v>
      </c>
      <c r="G20" s="14">
        <v>85</v>
      </c>
      <c r="H20" s="14"/>
      <c r="I20" s="14">
        <v>35</v>
      </c>
      <c r="J20" s="14" t="s">
        <v>268</v>
      </c>
      <c r="K20" s="14">
        <v>100</v>
      </c>
      <c r="L20" s="14" t="s">
        <v>277</v>
      </c>
      <c r="M20" s="14" t="s">
        <v>283</v>
      </c>
      <c r="N20" s="14" t="s">
        <v>289</v>
      </c>
      <c r="O20" s="14">
        <v>100</v>
      </c>
      <c r="P20" s="14" t="s">
        <v>294</v>
      </c>
      <c r="Q20" s="14" t="s">
        <v>294</v>
      </c>
      <c r="R20" s="14">
        <v>22</v>
      </c>
      <c r="S20" s="14">
        <v>100</v>
      </c>
      <c r="T20" s="14" t="s">
        <v>306</v>
      </c>
      <c r="U20" s="14" t="s">
        <v>312</v>
      </c>
      <c r="V20" s="14">
        <v>0</v>
      </c>
      <c r="W20" s="14" t="s">
        <v>323</v>
      </c>
      <c r="X20" s="14">
        <v>62</v>
      </c>
      <c r="Y20" s="14">
        <v>100</v>
      </c>
      <c r="Z20" s="14">
        <v>90</v>
      </c>
      <c r="AA20" s="14">
        <v>1.35</v>
      </c>
      <c r="AB20" s="14">
        <v>0</v>
      </c>
      <c r="AC20" s="14">
        <v>16</v>
      </c>
      <c r="AD20" s="14">
        <v>18</v>
      </c>
      <c r="AE20" s="14">
        <v>55</v>
      </c>
      <c r="AF20" s="14">
        <v>5</v>
      </c>
      <c r="AG20" s="14">
        <v>3</v>
      </c>
      <c r="AH20" s="14">
        <v>27</v>
      </c>
      <c r="AI20" s="14">
        <v>61</v>
      </c>
      <c r="AJ20" s="14">
        <v>65</v>
      </c>
      <c r="AK20" s="14">
        <v>125</v>
      </c>
      <c r="AL20" s="14" t="s">
        <v>365</v>
      </c>
      <c r="AM20" s="14">
        <v>3.2</v>
      </c>
      <c r="AN20" s="14">
        <v>5</v>
      </c>
      <c r="AO20" s="14">
        <v>98</v>
      </c>
      <c r="AP20" s="14">
        <v>2</v>
      </c>
      <c r="AQ20" s="14">
        <v>0</v>
      </c>
      <c r="AR20" s="14">
        <v>0</v>
      </c>
      <c r="AS20" s="14">
        <v>0</v>
      </c>
      <c r="AT20" s="14" t="s">
        <v>532</v>
      </c>
      <c r="AU20" s="14" t="s">
        <v>534</v>
      </c>
      <c r="AV20" s="14" t="s">
        <v>36</v>
      </c>
      <c r="AW20" s="14" t="s">
        <v>36</v>
      </c>
      <c r="AX20" s="14" t="s">
        <v>36</v>
      </c>
      <c r="AY20" s="14" t="s">
        <v>36</v>
      </c>
      <c r="AZ20" s="14" t="s">
        <v>36</v>
      </c>
      <c r="BA20" s="14" t="s">
        <v>36</v>
      </c>
      <c r="BB20" s="14" t="s">
        <v>36</v>
      </c>
      <c r="BC20" s="14" t="s">
        <v>36</v>
      </c>
      <c r="BD20" s="14" t="s">
        <v>36</v>
      </c>
      <c r="BE20" s="14" t="s">
        <v>36</v>
      </c>
      <c r="BF20" s="41">
        <v>95.67</v>
      </c>
      <c r="BG20" s="41" t="s">
        <v>58</v>
      </c>
      <c r="BH20" s="41" t="s">
        <v>855</v>
      </c>
      <c r="BI20" s="41">
        <v>0</v>
      </c>
      <c r="BJ20" s="41" t="s">
        <v>36</v>
      </c>
      <c r="BK20" s="41">
        <v>95.67</v>
      </c>
      <c r="BL20" s="41">
        <v>86.5</v>
      </c>
      <c r="BM20" s="41">
        <v>100</v>
      </c>
      <c r="BN20" s="41">
        <v>100</v>
      </c>
      <c r="BO20" s="41">
        <v>96</v>
      </c>
      <c r="BP20" s="41">
        <v>100</v>
      </c>
    </row>
    <row r="21" spans="1:68">
      <c r="A21" s="5" t="s">
        <v>890</v>
      </c>
      <c r="B21" s="5" t="s">
        <v>891</v>
      </c>
      <c r="C21" s="14"/>
      <c r="D21" s="14"/>
      <c r="E21" s="14" t="s">
        <v>34</v>
      </c>
      <c r="F21" s="14">
        <v>8</v>
      </c>
      <c r="G21" s="14">
        <v>85</v>
      </c>
      <c r="H21" s="14" t="s">
        <v>259</v>
      </c>
      <c r="I21" s="14">
        <v>35</v>
      </c>
      <c r="J21" s="14" t="s">
        <v>268</v>
      </c>
      <c r="K21" s="14">
        <v>100</v>
      </c>
      <c r="L21" s="14" t="s">
        <v>277</v>
      </c>
      <c r="M21" s="14" t="s">
        <v>283</v>
      </c>
      <c r="N21" s="14" t="s">
        <v>289</v>
      </c>
      <c r="O21" s="14">
        <v>100</v>
      </c>
      <c r="P21" s="14" t="s">
        <v>294</v>
      </c>
      <c r="Q21" s="14" t="s">
        <v>294</v>
      </c>
      <c r="R21" s="14">
        <v>22</v>
      </c>
      <c r="S21" s="14">
        <v>100</v>
      </c>
      <c r="T21" s="14" t="s">
        <v>306</v>
      </c>
      <c r="U21" s="14" t="s">
        <v>312</v>
      </c>
      <c r="V21" s="14">
        <v>0</v>
      </c>
      <c r="W21" s="14" t="s">
        <v>323</v>
      </c>
      <c r="X21" s="14">
        <v>62</v>
      </c>
      <c r="Y21" s="14">
        <v>100</v>
      </c>
      <c r="Z21" s="14">
        <v>90</v>
      </c>
      <c r="AA21" s="14">
        <v>1.35</v>
      </c>
      <c r="AB21" s="14">
        <v>0</v>
      </c>
      <c r="AC21" s="14">
        <v>16</v>
      </c>
      <c r="AD21" s="14">
        <v>18</v>
      </c>
      <c r="AE21" s="14">
        <v>55</v>
      </c>
      <c r="AF21" s="14">
        <v>5</v>
      </c>
      <c r="AG21" s="14">
        <v>3</v>
      </c>
      <c r="AH21" s="14">
        <v>27</v>
      </c>
      <c r="AI21" s="14">
        <v>61</v>
      </c>
      <c r="AJ21" s="14">
        <v>65</v>
      </c>
      <c r="AK21" s="14">
        <v>125</v>
      </c>
      <c r="AL21" s="14" t="s">
        <v>365</v>
      </c>
      <c r="AM21" s="14">
        <v>3.2</v>
      </c>
      <c r="AN21" s="14">
        <v>-15</v>
      </c>
      <c r="AO21" s="14">
        <v>98</v>
      </c>
      <c r="AP21" s="14">
        <v>2</v>
      </c>
      <c r="AQ21" s="14">
        <v>0</v>
      </c>
      <c r="AR21" s="14">
        <v>8</v>
      </c>
      <c r="AS21" s="14">
        <v>0</v>
      </c>
      <c r="AT21" s="14" t="s">
        <v>532</v>
      </c>
      <c r="AU21" s="14" t="s">
        <v>534</v>
      </c>
      <c r="AV21" s="14" t="s">
        <v>36</v>
      </c>
      <c r="AW21" s="14" t="s">
        <v>36</v>
      </c>
      <c r="AX21" s="14" t="s">
        <v>36</v>
      </c>
      <c r="AY21" s="14" t="s">
        <v>36</v>
      </c>
      <c r="AZ21" s="14" t="s">
        <v>41</v>
      </c>
      <c r="BA21" s="14" t="s">
        <v>36</v>
      </c>
      <c r="BB21" s="14" t="s">
        <v>36</v>
      </c>
      <c r="BC21" s="14" t="s">
        <v>36</v>
      </c>
      <c r="BD21" s="14" t="s">
        <v>36</v>
      </c>
      <c r="BE21" s="14" t="s">
        <v>36</v>
      </c>
      <c r="BF21" s="41">
        <v>67.95999999999999</v>
      </c>
      <c r="BG21" s="41" t="s">
        <v>60</v>
      </c>
      <c r="BH21" s="41" t="s">
        <v>868</v>
      </c>
      <c r="BI21" s="41">
        <v>30</v>
      </c>
      <c r="BJ21" s="41" t="s">
        <v>36</v>
      </c>
      <c r="BK21" s="41">
        <v>97.95999999999999</v>
      </c>
      <c r="BL21" s="41">
        <v>100</v>
      </c>
      <c r="BM21" s="41">
        <v>100</v>
      </c>
      <c r="BN21" s="41">
        <v>100</v>
      </c>
      <c r="BO21" s="41">
        <v>91.5</v>
      </c>
      <c r="BP21" s="41">
        <v>91.81999999999999</v>
      </c>
    </row>
    <row r="22" spans="1:68">
      <c r="A22" s="5" t="s">
        <v>892</v>
      </c>
      <c r="B22" s="5" t="s">
        <v>893</v>
      </c>
      <c r="C22" s="14"/>
      <c r="D22" s="14"/>
      <c r="E22" s="14" t="s">
        <v>34</v>
      </c>
      <c r="F22" s="14">
        <v>8</v>
      </c>
      <c r="G22" s="14">
        <v>85</v>
      </c>
      <c r="H22" s="14" t="s">
        <v>259</v>
      </c>
      <c r="I22" s="14">
        <v>35</v>
      </c>
      <c r="J22" s="14" t="s">
        <v>268</v>
      </c>
      <c r="K22" s="14">
        <v>100</v>
      </c>
      <c r="L22" s="14" t="s">
        <v>277</v>
      </c>
      <c r="M22" s="14" t="s">
        <v>283</v>
      </c>
      <c r="N22" s="14" t="s">
        <v>289</v>
      </c>
      <c r="O22" s="14">
        <v>100</v>
      </c>
      <c r="P22" s="14" t="s">
        <v>294</v>
      </c>
      <c r="Q22" s="14" t="s">
        <v>294</v>
      </c>
      <c r="R22" s="14">
        <v>22</v>
      </c>
      <c r="S22" s="14">
        <v>100</v>
      </c>
      <c r="T22" s="14" t="s">
        <v>306</v>
      </c>
      <c r="U22" s="14" t="s">
        <v>312</v>
      </c>
      <c r="V22" s="14">
        <v>0</v>
      </c>
      <c r="W22" s="14" t="s">
        <v>323</v>
      </c>
      <c r="X22" s="14">
        <v>62</v>
      </c>
      <c r="Y22" s="14">
        <v>100</v>
      </c>
      <c r="Z22" s="14">
        <v>90</v>
      </c>
      <c r="AA22" s="14">
        <v>1.35</v>
      </c>
      <c r="AB22" s="14">
        <v>0</v>
      </c>
      <c r="AC22" s="14">
        <v>16</v>
      </c>
      <c r="AD22" s="14">
        <v>18</v>
      </c>
      <c r="AE22" s="14">
        <v>55</v>
      </c>
      <c r="AF22" s="14">
        <v>5</v>
      </c>
      <c r="AG22" s="14">
        <v>3</v>
      </c>
      <c r="AH22" s="14">
        <v>27</v>
      </c>
      <c r="AI22" s="14">
        <v>61</v>
      </c>
      <c r="AJ22" s="14">
        <v>65</v>
      </c>
      <c r="AK22" s="14">
        <v>125</v>
      </c>
      <c r="AL22" s="14" t="s">
        <v>365</v>
      </c>
      <c r="AM22" s="14">
        <v>3.2</v>
      </c>
      <c r="AN22" s="14">
        <v>5</v>
      </c>
      <c r="AO22" s="14">
        <v>98</v>
      </c>
      <c r="AP22" s="14">
        <v>2</v>
      </c>
      <c r="AQ22" s="14"/>
      <c r="AR22" s="14">
        <v>0</v>
      </c>
      <c r="AS22" s="14">
        <v>0</v>
      </c>
      <c r="AT22" s="14" t="s">
        <v>532</v>
      </c>
      <c r="AU22" s="14" t="s">
        <v>534</v>
      </c>
      <c r="AV22" s="14" t="s">
        <v>36</v>
      </c>
      <c r="AW22" s="14" t="s">
        <v>36</v>
      </c>
      <c r="AX22" s="14" t="s">
        <v>36</v>
      </c>
      <c r="AY22" s="14" t="s">
        <v>36</v>
      </c>
      <c r="AZ22" s="14" t="s">
        <v>36</v>
      </c>
      <c r="BA22" s="14" t="s">
        <v>36</v>
      </c>
      <c r="BB22" s="14" t="s">
        <v>36</v>
      </c>
      <c r="BC22" s="14" t="s">
        <v>36</v>
      </c>
      <c r="BD22" s="14" t="s">
        <v>36</v>
      </c>
      <c r="BE22" s="14" t="s">
        <v>36</v>
      </c>
      <c r="BF22" s="41">
        <v>99.04000000000001</v>
      </c>
      <c r="BG22" s="41" t="s">
        <v>66</v>
      </c>
      <c r="BH22" s="41" t="s">
        <v>67</v>
      </c>
      <c r="BI22" s="41">
        <v>0</v>
      </c>
      <c r="BJ22" s="41" t="s">
        <v>41</v>
      </c>
      <c r="BK22" s="41">
        <v>99.04000000000001</v>
      </c>
      <c r="BL22" s="41">
        <v>100</v>
      </c>
      <c r="BM22" s="41">
        <v>100</v>
      </c>
      <c r="BN22" s="41">
        <v>100</v>
      </c>
      <c r="BO22" s="41">
        <v>96</v>
      </c>
      <c r="BP22" s="41">
        <v>100</v>
      </c>
    </row>
    <row r="23" spans="1:68">
      <c r="A23" s="5" t="s">
        <v>894</v>
      </c>
      <c r="B23" s="5" t="s">
        <v>895</v>
      </c>
      <c r="C23" s="14"/>
      <c r="D23" s="14"/>
      <c r="E23" s="14" t="s">
        <v>34</v>
      </c>
      <c r="F23" s="14">
        <v>8</v>
      </c>
      <c r="G23" s="14">
        <v>85</v>
      </c>
      <c r="H23" s="14" t="s">
        <v>259</v>
      </c>
      <c r="I23" s="14">
        <v>35</v>
      </c>
      <c r="J23" s="14" t="s">
        <v>268</v>
      </c>
      <c r="K23" s="14">
        <v>100</v>
      </c>
      <c r="L23" s="14" t="s">
        <v>277</v>
      </c>
      <c r="M23" s="14" t="s">
        <v>283</v>
      </c>
      <c r="N23" s="14" t="s">
        <v>289</v>
      </c>
      <c r="O23" s="14">
        <v>100</v>
      </c>
      <c r="P23" s="14" t="s">
        <v>294</v>
      </c>
      <c r="Q23" s="14" t="s">
        <v>294</v>
      </c>
      <c r="R23" s="14">
        <v>22</v>
      </c>
      <c r="S23" s="14">
        <v>100</v>
      </c>
      <c r="T23" s="14" t="s">
        <v>306</v>
      </c>
      <c r="U23" s="14" t="s">
        <v>312</v>
      </c>
      <c r="V23" s="14">
        <v>0</v>
      </c>
      <c r="W23" s="14" t="s">
        <v>323</v>
      </c>
      <c r="X23" s="14">
        <v>62</v>
      </c>
      <c r="Y23" s="14">
        <v>100</v>
      </c>
      <c r="Z23" s="14">
        <v>90</v>
      </c>
      <c r="AA23" s="14">
        <v>1.35</v>
      </c>
      <c r="AB23" s="14">
        <v>0</v>
      </c>
      <c r="AC23" s="14">
        <v>16</v>
      </c>
      <c r="AD23" s="14">
        <v>18</v>
      </c>
      <c r="AE23" s="14">
        <v>55</v>
      </c>
      <c r="AF23" s="14">
        <v>5</v>
      </c>
      <c r="AG23" s="14">
        <v>3</v>
      </c>
      <c r="AH23" s="14">
        <v>27</v>
      </c>
      <c r="AI23" s="14">
        <v>61</v>
      </c>
      <c r="AJ23" s="14">
        <v>65</v>
      </c>
      <c r="AK23" s="14">
        <v>125</v>
      </c>
      <c r="AL23" s="14" t="s">
        <v>365</v>
      </c>
      <c r="AM23" s="14">
        <v>3.2</v>
      </c>
      <c r="AN23" s="14">
        <v>5</v>
      </c>
      <c r="AO23" s="14">
        <v>98</v>
      </c>
      <c r="AP23" s="14">
        <v>2</v>
      </c>
      <c r="AQ23" s="14">
        <v>0</v>
      </c>
      <c r="AR23" s="14">
        <v>0</v>
      </c>
      <c r="AS23" s="14">
        <v>0</v>
      </c>
      <c r="AT23" s="14" t="s">
        <v>532</v>
      </c>
      <c r="AU23" s="14" t="s">
        <v>436</v>
      </c>
      <c r="AV23" s="14" t="s">
        <v>36</v>
      </c>
      <c r="AW23" s="14" t="s">
        <v>36</v>
      </c>
      <c r="AX23" s="14" t="s">
        <v>36</v>
      </c>
      <c r="AY23" s="14" t="s">
        <v>36</v>
      </c>
      <c r="AZ23" s="14" t="s">
        <v>36</v>
      </c>
      <c r="BA23" s="14" t="s">
        <v>36</v>
      </c>
      <c r="BB23" s="14" t="s">
        <v>36</v>
      </c>
      <c r="BC23" s="14" t="s">
        <v>36</v>
      </c>
      <c r="BD23" s="14" t="s">
        <v>36</v>
      </c>
      <c r="BE23" s="14" t="s">
        <v>36</v>
      </c>
      <c r="BF23" s="41">
        <v>99.04000000000001</v>
      </c>
      <c r="BG23" s="41" t="s">
        <v>64</v>
      </c>
      <c r="BH23" s="41" t="s">
        <v>865</v>
      </c>
      <c r="BI23" s="41">
        <v>0</v>
      </c>
      <c r="BJ23" s="41" t="s">
        <v>36</v>
      </c>
      <c r="BK23" s="41">
        <v>99.04000000000001</v>
      </c>
      <c r="BL23" s="41">
        <v>100</v>
      </c>
      <c r="BM23" s="41">
        <v>100</v>
      </c>
      <c r="BN23" s="41">
        <v>100</v>
      </c>
      <c r="BO23" s="41">
        <v>96</v>
      </c>
      <c r="BP23" s="41">
        <v>100</v>
      </c>
    </row>
    <row r="24" spans="1:68">
      <c r="A24" s="5" t="s">
        <v>896</v>
      </c>
      <c r="B24" s="5" t="s">
        <v>897</v>
      </c>
      <c r="C24" s="14" t="s">
        <v>79</v>
      </c>
      <c r="D24" s="14" t="s">
        <v>105</v>
      </c>
      <c r="E24" s="14" t="s">
        <v>37</v>
      </c>
      <c r="F24" s="14">
        <v>2</v>
      </c>
      <c r="G24" s="14">
        <v>120</v>
      </c>
      <c r="H24" s="14" t="s">
        <v>257</v>
      </c>
      <c r="I24" s="14">
        <v>50</v>
      </c>
      <c r="J24" s="14" t="s">
        <v>266</v>
      </c>
      <c r="K24" s="14">
        <v>90</v>
      </c>
      <c r="L24" s="14" t="s">
        <v>275</v>
      </c>
      <c r="M24" s="14" t="s">
        <v>281</v>
      </c>
      <c r="N24" s="14" t="s">
        <v>287</v>
      </c>
      <c r="O24" s="14">
        <v>90</v>
      </c>
      <c r="P24" s="14" t="s">
        <v>281</v>
      </c>
      <c r="Q24" s="14" t="s">
        <v>287</v>
      </c>
      <c r="R24" s="14">
        <v>30</v>
      </c>
      <c r="S24" s="14">
        <v>70</v>
      </c>
      <c r="T24" s="14" t="s">
        <v>304</v>
      </c>
      <c r="U24" s="14" t="s">
        <v>310</v>
      </c>
      <c r="V24" s="14">
        <v>1.5</v>
      </c>
      <c r="W24" s="14" t="s">
        <v>319</v>
      </c>
      <c r="X24" s="14">
        <v>35</v>
      </c>
      <c r="Y24" s="14">
        <v>90</v>
      </c>
      <c r="Z24" s="14">
        <v>180</v>
      </c>
      <c r="AA24" s="14">
        <v>0.95</v>
      </c>
      <c r="AB24" s="14">
        <v>5</v>
      </c>
      <c r="AC24" s="14">
        <v>24</v>
      </c>
      <c r="AD24" s="14">
        <v>12</v>
      </c>
      <c r="AE24" s="14">
        <v>30</v>
      </c>
      <c r="AF24" s="14">
        <v>25</v>
      </c>
      <c r="AG24" s="14">
        <v>12</v>
      </c>
      <c r="AH24" s="14">
        <v>12</v>
      </c>
      <c r="AI24" s="14">
        <v>85</v>
      </c>
      <c r="AJ24" s="14">
        <v>78</v>
      </c>
      <c r="AK24" s="14">
        <v>100</v>
      </c>
      <c r="AL24" s="14" t="s">
        <v>363</v>
      </c>
      <c r="AM24" s="14">
        <v>2</v>
      </c>
      <c r="AN24" s="14">
        <v>-5</v>
      </c>
      <c r="AO24" s="14">
        <v>108</v>
      </c>
      <c r="AP24" s="14">
        <v>7</v>
      </c>
      <c r="AQ24" s="14">
        <v>0</v>
      </c>
      <c r="AR24" s="14">
        <v>0</v>
      </c>
      <c r="AS24" s="14">
        <v>0</v>
      </c>
      <c r="AT24" s="14" t="s">
        <v>532</v>
      </c>
      <c r="AU24" s="14" t="s">
        <v>534</v>
      </c>
      <c r="AV24" s="14" t="s">
        <v>36</v>
      </c>
      <c r="AW24" s="14" t="s">
        <v>36</v>
      </c>
      <c r="AX24" s="14" t="s">
        <v>36</v>
      </c>
      <c r="AY24" s="14" t="s">
        <v>36</v>
      </c>
      <c r="AZ24" s="14" t="s">
        <v>36</v>
      </c>
      <c r="BA24" s="14" t="s">
        <v>36</v>
      </c>
      <c r="BB24" s="14" t="s">
        <v>36</v>
      </c>
      <c r="BC24" s="14" t="s">
        <v>36</v>
      </c>
      <c r="BD24" s="14" t="s">
        <v>36</v>
      </c>
      <c r="BE24" s="14" t="s">
        <v>36</v>
      </c>
      <c r="BF24" s="41">
        <v>0</v>
      </c>
      <c r="BG24" s="41" t="s">
        <v>64</v>
      </c>
      <c r="BH24" s="41" t="s">
        <v>862</v>
      </c>
      <c r="BI24" s="41">
        <v>50</v>
      </c>
      <c r="BJ24" s="41" t="s">
        <v>36</v>
      </c>
      <c r="BK24" s="41">
        <v>52.7</v>
      </c>
      <c r="BL24" s="41">
        <v>60</v>
      </c>
      <c r="BM24" s="41">
        <v>60</v>
      </c>
      <c r="BN24" s="41">
        <v>50</v>
      </c>
      <c r="BO24" s="41">
        <v>42.5</v>
      </c>
      <c r="BP24" s="41">
        <v>50.91</v>
      </c>
    </row>
    <row r="25" spans="1:68">
      <c r="A25" s="5" t="s">
        <v>898</v>
      </c>
      <c r="B25" s="5" t="s">
        <v>465</v>
      </c>
      <c r="C25" s="14"/>
      <c r="D25" s="14"/>
      <c r="E25" s="14" t="s">
        <v>34</v>
      </c>
      <c r="F25" s="14">
        <v>8</v>
      </c>
      <c r="G25" s="14">
        <v>85</v>
      </c>
      <c r="H25" s="14" t="s">
        <v>259</v>
      </c>
      <c r="I25" s="14">
        <v>35</v>
      </c>
      <c r="J25" s="14" t="s">
        <v>268</v>
      </c>
      <c r="K25" s="14">
        <v>100</v>
      </c>
      <c r="L25" s="14" t="s">
        <v>277</v>
      </c>
      <c r="M25" s="14" t="s">
        <v>283</v>
      </c>
      <c r="N25" s="14" t="s">
        <v>289</v>
      </c>
      <c r="O25" s="14">
        <v>100</v>
      </c>
      <c r="P25" s="14" t="s">
        <v>294</v>
      </c>
      <c r="Q25" s="14" t="s">
        <v>294</v>
      </c>
      <c r="R25" s="14">
        <v>22</v>
      </c>
      <c r="S25" s="14">
        <v>100</v>
      </c>
      <c r="T25" s="14" t="s">
        <v>306</v>
      </c>
      <c r="U25" s="14" t="s">
        <v>312</v>
      </c>
      <c r="V25" s="14">
        <v>0</v>
      </c>
      <c r="W25" s="14" t="s">
        <v>317</v>
      </c>
      <c r="X25" s="14">
        <v>62</v>
      </c>
      <c r="Y25" s="14">
        <v>100</v>
      </c>
      <c r="Z25" s="14">
        <v>90</v>
      </c>
      <c r="AA25" s="14">
        <v>1.35</v>
      </c>
      <c r="AB25" s="14">
        <v>0</v>
      </c>
      <c r="AC25" s="14">
        <v>16</v>
      </c>
      <c r="AD25" s="14">
        <v>18</v>
      </c>
      <c r="AE25" s="14">
        <v>55</v>
      </c>
      <c r="AF25" s="14">
        <v>5</v>
      </c>
      <c r="AG25" s="14">
        <v>3</v>
      </c>
      <c r="AH25" s="14">
        <v>27</v>
      </c>
      <c r="AI25" s="14">
        <v>61</v>
      </c>
      <c r="AJ25" s="14">
        <v>65</v>
      </c>
      <c r="AK25" s="14">
        <v>125</v>
      </c>
      <c r="AL25" s="14" t="s">
        <v>365</v>
      </c>
      <c r="AM25" s="14">
        <v>3.2</v>
      </c>
      <c r="AN25" s="14">
        <v>5</v>
      </c>
      <c r="AO25" s="14">
        <v>98</v>
      </c>
      <c r="AP25" s="14">
        <v>2</v>
      </c>
      <c r="AQ25" s="14">
        <v>0</v>
      </c>
      <c r="AR25" s="14">
        <v>0</v>
      </c>
      <c r="AS25" s="14">
        <v>0</v>
      </c>
      <c r="AT25" s="14" t="s">
        <v>532</v>
      </c>
      <c r="AU25" s="14" t="s">
        <v>534</v>
      </c>
      <c r="AV25" s="14" t="s">
        <v>36</v>
      </c>
      <c r="AW25" s="14" t="s">
        <v>36</v>
      </c>
      <c r="AX25" s="14" t="s">
        <v>36</v>
      </c>
      <c r="AY25" s="14" t="s">
        <v>36</v>
      </c>
      <c r="AZ25" s="14" t="s">
        <v>36</v>
      </c>
      <c r="BA25" s="14" t="s">
        <v>36</v>
      </c>
      <c r="BB25" s="14" t="s">
        <v>36</v>
      </c>
      <c r="BC25" s="14" t="s">
        <v>36</v>
      </c>
      <c r="BD25" s="14" t="s">
        <v>36</v>
      </c>
      <c r="BE25" s="14" t="s">
        <v>36</v>
      </c>
      <c r="BF25" s="41">
        <v>83.14</v>
      </c>
      <c r="BG25" s="41" t="s">
        <v>58</v>
      </c>
      <c r="BH25" s="41" t="s">
        <v>855</v>
      </c>
      <c r="BI25" s="41">
        <v>15</v>
      </c>
      <c r="BJ25" s="41" t="s">
        <v>36</v>
      </c>
      <c r="BK25" s="41">
        <v>98.14</v>
      </c>
      <c r="BL25" s="41">
        <v>100</v>
      </c>
      <c r="BM25" s="41">
        <v>95.5</v>
      </c>
      <c r="BN25" s="41">
        <v>100</v>
      </c>
      <c r="BO25" s="41">
        <v>96</v>
      </c>
      <c r="BP25" s="41">
        <v>100</v>
      </c>
    </row>
    <row r="26" spans="1:68">
      <c r="A26" s="5" t="s">
        <v>899</v>
      </c>
      <c r="B26" s="5" t="s">
        <v>900</v>
      </c>
      <c r="C26" s="14"/>
      <c r="D26" s="14"/>
      <c r="E26" s="14" t="s">
        <v>34</v>
      </c>
      <c r="F26" s="14">
        <v>8</v>
      </c>
      <c r="G26" s="14">
        <v>85</v>
      </c>
      <c r="H26" s="14" t="s">
        <v>259</v>
      </c>
      <c r="I26" s="14">
        <v>35</v>
      </c>
      <c r="J26" s="14" t="s">
        <v>268</v>
      </c>
      <c r="K26" s="14">
        <v>100</v>
      </c>
      <c r="L26" s="14" t="s">
        <v>277</v>
      </c>
      <c r="M26" s="14" t="s">
        <v>283</v>
      </c>
      <c r="N26" s="14" t="s">
        <v>289</v>
      </c>
      <c r="O26" s="14">
        <v>100</v>
      </c>
      <c r="P26" s="14" t="s">
        <v>294</v>
      </c>
      <c r="Q26" s="14" t="s">
        <v>294</v>
      </c>
      <c r="R26" s="14">
        <v>22</v>
      </c>
      <c r="S26" s="14">
        <v>100</v>
      </c>
      <c r="T26" s="14" t="s">
        <v>306</v>
      </c>
      <c r="U26" s="14" t="s">
        <v>312</v>
      </c>
      <c r="V26" s="14">
        <v>0</v>
      </c>
      <c r="W26" s="14" t="s">
        <v>323</v>
      </c>
      <c r="X26" s="14">
        <v>62</v>
      </c>
      <c r="Y26" s="14">
        <v>100</v>
      </c>
      <c r="Z26" s="14">
        <v>90</v>
      </c>
      <c r="AA26" s="14">
        <v>1.35</v>
      </c>
      <c r="AB26" s="14">
        <v>0</v>
      </c>
      <c r="AC26" s="14">
        <v>16</v>
      </c>
      <c r="AD26" s="14">
        <v>18</v>
      </c>
      <c r="AE26" s="14">
        <v>55</v>
      </c>
      <c r="AF26" s="14">
        <v>5</v>
      </c>
      <c r="AG26" s="14">
        <v>3</v>
      </c>
      <c r="AH26" s="14">
        <v>27</v>
      </c>
      <c r="AI26" s="14">
        <v>61</v>
      </c>
      <c r="AJ26" s="14">
        <v>65</v>
      </c>
      <c r="AK26" s="14">
        <v>125</v>
      </c>
      <c r="AL26" s="14" t="s">
        <v>365</v>
      </c>
      <c r="AM26" s="14">
        <v>3.2</v>
      </c>
      <c r="AN26" s="14">
        <v>5</v>
      </c>
      <c r="AO26" s="14">
        <v>150</v>
      </c>
      <c r="AP26" s="14">
        <v>2</v>
      </c>
      <c r="AQ26" s="14">
        <v>0</v>
      </c>
      <c r="AR26" s="14">
        <v>0</v>
      </c>
      <c r="AS26" s="14">
        <v>0</v>
      </c>
      <c r="AT26" s="14" t="s">
        <v>532</v>
      </c>
      <c r="AU26" s="14" t="s">
        <v>534</v>
      </c>
      <c r="AV26" s="14" t="s">
        <v>36</v>
      </c>
      <c r="AW26" s="14" t="s">
        <v>36</v>
      </c>
      <c r="AX26" s="14" t="s">
        <v>36</v>
      </c>
      <c r="AY26" s="14" t="s">
        <v>36</v>
      </c>
      <c r="AZ26" s="14" t="s">
        <v>36</v>
      </c>
      <c r="BA26" s="14" t="s">
        <v>36</v>
      </c>
      <c r="BB26" s="14" t="s">
        <v>41</v>
      </c>
      <c r="BC26" s="14" t="s">
        <v>36</v>
      </c>
      <c r="BD26" s="14" t="s">
        <v>36</v>
      </c>
      <c r="BE26" s="14" t="s">
        <v>36</v>
      </c>
      <c r="BF26" s="41">
        <v>81.88</v>
      </c>
      <c r="BG26" s="41" t="s">
        <v>58</v>
      </c>
      <c r="BH26" s="41" t="s">
        <v>855</v>
      </c>
      <c r="BI26" s="41">
        <v>15</v>
      </c>
      <c r="BJ26" s="41" t="s">
        <v>36</v>
      </c>
      <c r="BK26" s="41">
        <v>96.88</v>
      </c>
      <c r="BL26" s="41">
        <v>100</v>
      </c>
      <c r="BM26" s="41">
        <v>100</v>
      </c>
      <c r="BN26" s="41">
        <v>100</v>
      </c>
      <c r="BO26" s="41">
        <v>87</v>
      </c>
      <c r="BP26" s="41">
        <v>83.64</v>
      </c>
    </row>
    <row r="27" spans="1:68">
      <c r="A27" s="5" t="s">
        <v>901</v>
      </c>
      <c r="B27" s="5" t="s">
        <v>902</v>
      </c>
      <c r="C27" s="14"/>
      <c r="D27" s="14"/>
      <c r="E27" s="14" t="s">
        <v>34</v>
      </c>
      <c r="F27" s="14">
        <v>8</v>
      </c>
      <c r="G27" s="14">
        <v>85</v>
      </c>
      <c r="H27" s="14" t="s">
        <v>259</v>
      </c>
      <c r="I27" s="14">
        <v>35</v>
      </c>
      <c r="J27" s="14" t="s">
        <v>268</v>
      </c>
      <c r="K27" s="14">
        <v>100</v>
      </c>
      <c r="L27" s="14" t="s">
        <v>277</v>
      </c>
      <c r="M27" s="14" t="s">
        <v>283</v>
      </c>
      <c r="N27" s="14" t="s">
        <v>289</v>
      </c>
      <c r="O27" s="14">
        <v>100</v>
      </c>
      <c r="P27" s="14" t="s">
        <v>294</v>
      </c>
      <c r="Q27" s="14" t="s">
        <v>294</v>
      </c>
      <c r="R27" s="14">
        <v>22</v>
      </c>
      <c r="S27" s="14">
        <v>100</v>
      </c>
      <c r="T27" s="14" t="s">
        <v>306</v>
      </c>
      <c r="U27" s="14" t="s">
        <v>312</v>
      </c>
      <c r="V27" s="14">
        <v>4</v>
      </c>
      <c r="W27" s="14" t="s">
        <v>323</v>
      </c>
      <c r="X27" s="14">
        <v>62</v>
      </c>
      <c r="Y27" s="14">
        <v>100</v>
      </c>
      <c r="Z27" s="14">
        <v>90</v>
      </c>
      <c r="AA27" s="14">
        <v>1.35</v>
      </c>
      <c r="AB27" s="14">
        <v>0</v>
      </c>
      <c r="AC27" s="14">
        <v>16</v>
      </c>
      <c r="AD27" s="14">
        <v>18</v>
      </c>
      <c r="AE27" s="14">
        <v>55</v>
      </c>
      <c r="AF27" s="14">
        <v>5</v>
      </c>
      <c r="AG27" s="14">
        <v>3</v>
      </c>
      <c r="AH27" s="14">
        <v>27</v>
      </c>
      <c r="AI27" s="14">
        <v>61</v>
      </c>
      <c r="AJ27" s="14">
        <v>65</v>
      </c>
      <c r="AK27" s="14">
        <v>125</v>
      </c>
      <c r="AL27" s="14" t="s">
        <v>365</v>
      </c>
      <c r="AM27" s="14">
        <v>3.2</v>
      </c>
      <c r="AN27" s="14">
        <v>5</v>
      </c>
      <c r="AO27" s="14">
        <v>98</v>
      </c>
      <c r="AP27" s="14">
        <v>2</v>
      </c>
      <c r="AQ27" s="14">
        <v>0</v>
      </c>
      <c r="AR27" s="14">
        <v>0</v>
      </c>
      <c r="AS27" s="14">
        <v>0</v>
      </c>
      <c r="AT27" s="14" t="s">
        <v>532</v>
      </c>
      <c r="AU27" s="14" t="s">
        <v>534</v>
      </c>
      <c r="AV27" s="14" t="s">
        <v>36</v>
      </c>
      <c r="AW27" s="14" t="s">
        <v>36</v>
      </c>
      <c r="AX27" s="14" t="s">
        <v>36</v>
      </c>
      <c r="AY27" s="14" t="s">
        <v>36</v>
      </c>
      <c r="AZ27" s="14" t="s">
        <v>36</v>
      </c>
      <c r="BA27" s="14" t="s">
        <v>36</v>
      </c>
      <c r="BB27" s="14" t="s">
        <v>36</v>
      </c>
      <c r="BC27" s="14" t="s">
        <v>36</v>
      </c>
      <c r="BD27" s="14" t="s">
        <v>41</v>
      </c>
      <c r="BE27" s="14" t="s">
        <v>36</v>
      </c>
      <c r="BF27" s="41">
        <v>83.14</v>
      </c>
      <c r="BG27" s="41" t="s">
        <v>58</v>
      </c>
      <c r="BH27" s="41" t="s">
        <v>855</v>
      </c>
      <c r="BI27" s="41">
        <v>15</v>
      </c>
      <c r="BJ27" s="41" t="s">
        <v>36</v>
      </c>
      <c r="BK27" s="41">
        <v>98.14</v>
      </c>
      <c r="BL27" s="41">
        <v>100</v>
      </c>
      <c r="BM27" s="41">
        <v>95.5</v>
      </c>
      <c r="BN27" s="41">
        <v>100</v>
      </c>
      <c r="BO27" s="41">
        <v>96</v>
      </c>
      <c r="BP27" s="41">
        <v>100</v>
      </c>
    </row>
    <row r="28" spans="1:68">
      <c r="A28" s="5" t="s">
        <v>903</v>
      </c>
      <c r="B28" s="5" t="s">
        <v>904</v>
      </c>
      <c r="C28" s="14"/>
      <c r="D28" s="14"/>
      <c r="E28" s="14" t="s">
        <v>34</v>
      </c>
      <c r="F28" s="14">
        <v>8</v>
      </c>
      <c r="G28" s="14">
        <v>85</v>
      </c>
      <c r="H28" s="14" t="s">
        <v>259</v>
      </c>
      <c r="I28" s="14">
        <v>35</v>
      </c>
      <c r="J28" s="14" t="s">
        <v>268</v>
      </c>
      <c r="K28" s="14">
        <v>100</v>
      </c>
      <c r="L28" s="14" t="s">
        <v>277</v>
      </c>
      <c r="M28" s="14" t="s">
        <v>283</v>
      </c>
      <c r="N28" s="14" t="s">
        <v>289</v>
      </c>
      <c r="O28" s="14">
        <v>100</v>
      </c>
      <c r="P28" s="14" t="s">
        <v>294</v>
      </c>
      <c r="Q28" s="14" t="s">
        <v>294</v>
      </c>
      <c r="R28" s="14">
        <v>22</v>
      </c>
      <c r="S28" s="14">
        <v>100</v>
      </c>
      <c r="T28" s="14" t="s">
        <v>306</v>
      </c>
      <c r="U28" s="14" t="s">
        <v>312</v>
      </c>
      <c r="V28" s="14">
        <v>0</v>
      </c>
      <c r="W28" s="14" t="s">
        <v>323</v>
      </c>
      <c r="X28" s="14">
        <v>62</v>
      </c>
      <c r="Y28" s="14">
        <v>100</v>
      </c>
      <c r="Z28" s="14">
        <v>90</v>
      </c>
      <c r="AA28" s="14">
        <v>1.35</v>
      </c>
      <c r="AB28" s="14">
        <v>0</v>
      </c>
      <c r="AC28" s="14">
        <v>16</v>
      </c>
      <c r="AD28" s="14">
        <v>18</v>
      </c>
      <c r="AE28" s="14">
        <v>55</v>
      </c>
      <c r="AF28" s="14">
        <v>45</v>
      </c>
      <c r="AG28" s="14">
        <v>3</v>
      </c>
      <c r="AH28" s="14">
        <v>27</v>
      </c>
      <c r="AI28" s="14">
        <v>61</v>
      </c>
      <c r="AJ28" s="14">
        <v>65</v>
      </c>
      <c r="AK28" s="14">
        <v>125</v>
      </c>
      <c r="AL28" s="14" t="s">
        <v>365</v>
      </c>
      <c r="AM28" s="14">
        <v>3.2</v>
      </c>
      <c r="AN28" s="14">
        <v>5</v>
      </c>
      <c r="AO28" s="14">
        <v>98</v>
      </c>
      <c r="AP28" s="14">
        <v>2</v>
      </c>
      <c r="AQ28" s="14">
        <v>0</v>
      </c>
      <c r="AR28" s="14">
        <v>0</v>
      </c>
      <c r="AS28" s="14">
        <v>0</v>
      </c>
      <c r="AT28" s="14" t="s">
        <v>532</v>
      </c>
      <c r="AU28" s="14" t="s">
        <v>534</v>
      </c>
      <c r="AV28" s="14" t="s">
        <v>36</v>
      </c>
      <c r="AW28" s="14" t="s">
        <v>36</v>
      </c>
      <c r="AX28" s="14" t="s">
        <v>36</v>
      </c>
      <c r="AY28" s="14" t="s">
        <v>36</v>
      </c>
      <c r="AZ28" s="14" t="s">
        <v>36</v>
      </c>
      <c r="BA28" s="14" t="s">
        <v>36</v>
      </c>
      <c r="BB28" s="14" t="s">
        <v>36</v>
      </c>
      <c r="BC28" s="14" t="s">
        <v>36</v>
      </c>
      <c r="BD28" s="14" t="s">
        <v>36</v>
      </c>
      <c r="BE28" s="14" t="s">
        <v>41</v>
      </c>
      <c r="BF28" s="41">
        <v>87.64</v>
      </c>
      <c r="BG28" s="41" t="s">
        <v>58</v>
      </c>
      <c r="BH28" s="41" t="s">
        <v>855</v>
      </c>
      <c r="BI28" s="41">
        <v>10</v>
      </c>
      <c r="BJ28" s="41" t="s">
        <v>36</v>
      </c>
      <c r="BK28" s="41">
        <v>97.64</v>
      </c>
      <c r="BL28" s="41">
        <v>100</v>
      </c>
      <c r="BM28" s="41">
        <v>100</v>
      </c>
      <c r="BN28" s="41">
        <v>95.5</v>
      </c>
      <c r="BO28" s="41">
        <v>96</v>
      </c>
      <c r="BP28" s="41">
        <v>100</v>
      </c>
    </row>
    <row r="29" spans="1:68">
      <c r="A29" s="5" t="s">
        <v>905</v>
      </c>
      <c r="B29" s="5" t="s">
        <v>906</v>
      </c>
      <c r="C29" s="14"/>
      <c r="D29" s="14"/>
      <c r="E29" s="14" t="s">
        <v>34</v>
      </c>
      <c r="F29" s="14">
        <v>8</v>
      </c>
      <c r="G29" s="14">
        <v>85</v>
      </c>
      <c r="H29" s="14" t="s">
        <v>259</v>
      </c>
      <c r="I29" s="14">
        <v>35</v>
      </c>
      <c r="J29" s="14" t="s">
        <v>268</v>
      </c>
      <c r="K29" s="14">
        <v>100</v>
      </c>
      <c r="L29" s="14" t="s">
        <v>277</v>
      </c>
      <c r="M29" s="14" t="s">
        <v>283</v>
      </c>
      <c r="N29" s="14" t="s">
        <v>289</v>
      </c>
      <c r="O29" s="14">
        <v>100</v>
      </c>
      <c r="P29" s="14" t="s">
        <v>294</v>
      </c>
      <c r="Q29" s="14" t="s">
        <v>294</v>
      </c>
      <c r="R29" s="14">
        <v>22</v>
      </c>
      <c r="S29" s="14">
        <v>100</v>
      </c>
      <c r="T29" s="14" t="s">
        <v>302</v>
      </c>
      <c r="U29" s="14" t="s">
        <v>312</v>
      </c>
      <c r="V29" s="14">
        <v>0</v>
      </c>
      <c r="W29" s="14" t="s">
        <v>323</v>
      </c>
      <c r="X29" s="14">
        <v>62</v>
      </c>
      <c r="Y29" s="14">
        <v>100</v>
      </c>
      <c r="Z29" s="14">
        <v>90</v>
      </c>
      <c r="AA29" s="14">
        <v>1.35</v>
      </c>
      <c r="AB29" s="14">
        <v>0</v>
      </c>
      <c r="AC29" s="14">
        <v>16</v>
      </c>
      <c r="AD29" s="14">
        <v>18</v>
      </c>
      <c r="AE29" s="14">
        <v>55</v>
      </c>
      <c r="AF29" s="14">
        <v>5</v>
      </c>
      <c r="AG29" s="14">
        <v>25</v>
      </c>
      <c r="AH29" s="14">
        <v>27</v>
      </c>
      <c r="AI29" s="14">
        <v>61</v>
      </c>
      <c r="AJ29" s="14">
        <v>65</v>
      </c>
      <c r="AK29" s="14">
        <v>125</v>
      </c>
      <c r="AL29" s="14" t="s">
        <v>365</v>
      </c>
      <c r="AM29" s="14">
        <v>3.2</v>
      </c>
      <c r="AN29" s="14">
        <v>5</v>
      </c>
      <c r="AO29" s="14">
        <v>98</v>
      </c>
      <c r="AP29" s="14">
        <v>2</v>
      </c>
      <c r="AQ29" s="14">
        <v>0</v>
      </c>
      <c r="AR29" s="14">
        <v>0</v>
      </c>
      <c r="AS29" s="14">
        <v>0</v>
      </c>
      <c r="AT29" s="14" t="s">
        <v>532</v>
      </c>
      <c r="AU29" s="14" t="s">
        <v>534</v>
      </c>
      <c r="AV29" s="14" t="s">
        <v>36</v>
      </c>
      <c r="AW29" s="14" t="s">
        <v>36</v>
      </c>
      <c r="AX29" s="14" t="s">
        <v>36</v>
      </c>
      <c r="AY29" s="14" t="s">
        <v>36</v>
      </c>
      <c r="AZ29" s="14" t="s">
        <v>36</v>
      </c>
      <c r="BA29" s="14" t="s">
        <v>36</v>
      </c>
      <c r="BB29" s="14" t="s">
        <v>36</v>
      </c>
      <c r="BC29" s="14" t="s">
        <v>41</v>
      </c>
      <c r="BD29" s="14" t="s">
        <v>36</v>
      </c>
      <c r="BE29" s="14" t="s">
        <v>36</v>
      </c>
      <c r="BF29" s="41">
        <v>89.65000000000001</v>
      </c>
      <c r="BG29" s="41" t="s">
        <v>58</v>
      </c>
      <c r="BH29" s="41" t="s">
        <v>855</v>
      </c>
      <c r="BI29" s="41">
        <v>5</v>
      </c>
      <c r="BJ29" s="41" t="s">
        <v>36</v>
      </c>
      <c r="BK29" s="41">
        <v>94.65000000000001</v>
      </c>
      <c r="BL29" s="41">
        <v>100</v>
      </c>
      <c r="BM29" s="41">
        <v>92</v>
      </c>
      <c r="BN29" s="41">
        <v>91</v>
      </c>
      <c r="BO29" s="41">
        <v>96</v>
      </c>
      <c r="BP29" s="41">
        <v>100</v>
      </c>
    </row>
    <row r="30" spans="1:68">
      <c r="A30" s="5" t="s">
        <v>907</v>
      </c>
      <c r="B30" s="5" t="s">
        <v>908</v>
      </c>
      <c r="C30" s="14"/>
      <c r="D30" s="14"/>
      <c r="E30" s="14" t="s">
        <v>34</v>
      </c>
      <c r="F30" s="14">
        <v>8</v>
      </c>
      <c r="G30" s="14">
        <v>85</v>
      </c>
      <c r="H30" s="14" t="s">
        <v>259</v>
      </c>
      <c r="I30" s="14">
        <v>35</v>
      </c>
      <c r="J30" s="14" t="s">
        <v>268</v>
      </c>
      <c r="K30" s="14">
        <v>100</v>
      </c>
      <c r="L30" s="14" t="s">
        <v>277</v>
      </c>
      <c r="M30" s="14" t="s">
        <v>283</v>
      </c>
      <c r="N30" s="14" t="s">
        <v>289</v>
      </c>
      <c r="O30" s="14">
        <v>100</v>
      </c>
      <c r="P30" s="14" t="s">
        <v>294</v>
      </c>
      <c r="Q30" s="14" t="s">
        <v>294</v>
      </c>
      <c r="R30" s="14">
        <v>22</v>
      </c>
      <c r="S30" s="14">
        <v>100</v>
      </c>
      <c r="T30" s="14"/>
      <c r="U30" s="14"/>
      <c r="V30" s="14"/>
      <c r="W30" s="14"/>
      <c r="X30" s="14">
        <v>62</v>
      </c>
      <c r="Y30" s="14">
        <v>100</v>
      </c>
      <c r="Z30" s="14">
        <v>90</v>
      </c>
      <c r="AA30" s="14">
        <v>1.35</v>
      </c>
      <c r="AB30" s="14">
        <v>0</v>
      </c>
      <c r="AC30" s="14">
        <v>16</v>
      </c>
      <c r="AD30" s="14">
        <v>18</v>
      </c>
      <c r="AE30" s="14">
        <v>55</v>
      </c>
      <c r="AF30" s="14"/>
      <c r="AG30" s="14"/>
      <c r="AH30" s="14">
        <v>27</v>
      </c>
      <c r="AI30" s="14">
        <v>61</v>
      </c>
      <c r="AJ30" s="14">
        <v>65</v>
      </c>
      <c r="AK30" s="14">
        <v>125</v>
      </c>
      <c r="AL30" s="14" t="s">
        <v>365</v>
      </c>
      <c r="AM30" s="14">
        <v>3.2</v>
      </c>
      <c r="AN30" s="14">
        <v>5</v>
      </c>
      <c r="AO30" s="14"/>
      <c r="AP30" s="14"/>
      <c r="AQ30" s="14">
        <v>0</v>
      </c>
      <c r="AR30" s="14">
        <v>0</v>
      </c>
      <c r="AS30" s="14">
        <v>0</v>
      </c>
      <c r="AT30" s="14" t="s">
        <v>532</v>
      </c>
      <c r="AU30" s="14" t="s">
        <v>534</v>
      </c>
      <c r="AV30" s="14" t="s">
        <v>36</v>
      </c>
      <c r="AW30" s="14" t="s">
        <v>36</v>
      </c>
      <c r="AX30" s="14" t="s">
        <v>36</v>
      </c>
      <c r="AY30" s="14" t="s">
        <v>36</v>
      </c>
      <c r="AZ30" s="14" t="s">
        <v>36</v>
      </c>
      <c r="BA30" s="14" t="s">
        <v>36</v>
      </c>
      <c r="BB30" s="14" t="s">
        <v>36</v>
      </c>
      <c r="BC30" s="14" t="s">
        <v>36</v>
      </c>
      <c r="BD30" s="14" t="s">
        <v>36</v>
      </c>
      <c r="BE30" s="14" t="s">
        <v>36</v>
      </c>
      <c r="BF30" s="41">
        <v>85.53</v>
      </c>
      <c r="BG30" s="41" t="s">
        <v>58</v>
      </c>
      <c r="BH30" s="41" t="s">
        <v>855</v>
      </c>
      <c r="BI30" s="41">
        <v>0</v>
      </c>
      <c r="BJ30" s="41" t="s">
        <v>36</v>
      </c>
      <c r="BK30" s="41">
        <v>85.53</v>
      </c>
      <c r="BL30" s="41">
        <v>100</v>
      </c>
      <c r="BM30" s="41">
        <v>75</v>
      </c>
      <c r="BN30" s="41">
        <v>86.5</v>
      </c>
      <c r="BO30" s="41">
        <v>78</v>
      </c>
      <c r="BP30" s="41">
        <v>83.64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s="2" t="s">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5B9BD5"/>
  </sheetPr>
  <dimension ref="A1:E56"/>
  <sheetViews>
    <sheetView workbookViewId="0"/>
  </sheetViews>
  <sheetFormatPr defaultRowHeight="15"/>
  <cols>
    <col min="1" max="1" width="34.7109375" customWidth="1"/>
    <col min="2" max="9" width="16.7109375" customWidth="1"/>
  </cols>
  <sheetData>
    <row r="1" spans="1:5">
      <c r="A1" s="12" t="s">
        <v>1</v>
      </c>
    </row>
    <row r="2" spans="1:5">
      <c r="A2" s="2" t="s">
        <v>2</v>
      </c>
    </row>
    <row r="3" spans="1:5">
      <c r="A3" s="19" t="s">
        <v>3</v>
      </c>
      <c r="B3" s="19" t="s">
        <v>4</v>
      </c>
    </row>
    <row r="4" spans="1:5">
      <c r="A4" s="5" t="s">
        <v>5</v>
      </c>
      <c r="B4" s="41" t="s">
        <v>6</v>
      </c>
      <c r="D4" s="5" t="s">
        <v>68</v>
      </c>
      <c r="E4" s="41" t="b">
        <v>1</v>
      </c>
    </row>
    <row r="5" spans="1:5">
      <c r="A5" s="5" t="s">
        <v>7</v>
      </c>
      <c r="B5" s="41" t="s">
        <v>8</v>
      </c>
    </row>
    <row r="6" spans="1:5">
      <c r="A6" s="5" t="s">
        <v>9</v>
      </c>
      <c r="B6" s="42">
        <v>10</v>
      </c>
    </row>
    <row r="7" spans="1:5">
      <c r="A7" s="5" t="s">
        <v>10</v>
      </c>
      <c r="B7" s="42">
        <v>75</v>
      </c>
    </row>
    <row r="8" spans="1:5">
      <c r="A8" s="5" t="s">
        <v>11</v>
      </c>
      <c r="B8" s="42">
        <v>65</v>
      </c>
    </row>
    <row r="9" spans="1:5">
      <c r="A9" s="5" t="s">
        <v>12</v>
      </c>
      <c r="B9" s="42">
        <v>50</v>
      </c>
    </row>
    <row r="10" spans="1:5">
      <c r="A10" s="5" t="s">
        <v>13</v>
      </c>
      <c r="B10" s="42">
        <v>2.223</v>
      </c>
    </row>
    <row r="11" spans="1:5">
      <c r="A11" s="5" t="s">
        <v>14</v>
      </c>
      <c r="B11" s="42">
        <v>0.08019999999999999</v>
      </c>
    </row>
    <row r="12" spans="1:5">
      <c r="A12" s="5" t="s">
        <v>15</v>
      </c>
      <c r="B12" s="41" t="s">
        <v>16</v>
      </c>
    </row>
    <row r="14" spans="1:5">
      <c r="A14" s="13" t="s">
        <v>17</v>
      </c>
    </row>
    <row r="15" spans="1:5">
      <c r="A15" s="19" t="s">
        <v>18</v>
      </c>
      <c r="B15" s="19" t="s">
        <v>19</v>
      </c>
      <c r="C15" s="19" t="s">
        <v>20</v>
      </c>
    </row>
    <row r="16" spans="1:5">
      <c r="A16" s="41" t="s">
        <v>21</v>
      </c>
      <c r="B16" s="41" t="s">
        <v>22</v>
      </c>
      <c r="C16" s="42">
        <v>0.25</v>
      </c>
    </row>
    <row r="17" spans="1:5">
      <c r="A17" s="41" t="s">
        <v>23</v>
      </c>
      <c r="B17" s="41" t="s">
        <v>24</v>
      </c>
      <c r="C17" s="42">
        <v>0.2</v>
      </c>
    </row>
    <row r="18" spans="1:5">
      <c r="A18" s="41" t="s">
        <v>25</v>
      </c>
      <c r="B18" s="41" t="s">
        <v>26</v>
      </c>
      <c r="C18" s="42">
        <v>0.31</v>
      </c>
    </row>
    <row r="19" spans="1:5">
      <c r="A19" s="41" t="s">
        <v>27</v>
      </c>
      <c r="B19" s="41" t="s">
        <v>28</v>
      </c>
      <c r="C19" s="42">
        <v>0.24</v>
      </c>
    </row>
    <row r="20" spans="1:5">
      <c r="A20" s="41"/>
      <c r="B20" s="41"/>
      <c r="C20" s="41"/>
    </row>
    <row r="21" spans="1:5">
      <c r="A21" s="41"/>
      <c r="B21" s="41"/>
      <c r="C21" s="41"/>
    </row>
    <row r="22" spans="1:5">
      <c r="A22" s="41"/>
      <c r="B22" s="41"/>
      <c r="C22" s="41"/>
    </row>
    <row r="23" spans="1:5">
      <c r="A23" s="41"/>
      <c r="B23" s="41"/>
      <c r="C23" s="41"/>
    </row>
    <row r="25" spans="1:5">
      <c r="A25" s="13" t="s">
        <v>29</v>
      </c>
    </row>
    <row r="26" spans="1:5">
      <c r="A26" s="19" t="s">
        <v>18</v>
      </c>
      <c r="B26" s="19" t="s">
        <v>30</v>
      </c>
      <c r="C26" s="19" t="s">
        <v>31</v>
      </c>
      <c r="D26" s="19" t="s">
        <v>32</v>
      </c>
      <c r="E26" s="19" t="s">
        <v>33</v>
      </c>
    </row>
    <row r="27" spans="1:5">
      <c r="A27" s="41" t="s">
        <v>34</v>
      </c>
      <c r="B27" s="41" t="s">
        <v>35</v>
      </c>
      <c r="C27" s="41" t="s">
        <v>36</v>
      </c>
      <c r="D27" s="41" t="s">
        <v>36</v>
      </c>
      <c r="E27" s="42">
        <v>1</v>
      </c>
    </row>
    <row r="28" spans="1:5">
      <c r="A28" s="41" t="s">
        <v>37</v>
      </c>
      <c r="B28" s="41" t="s">
        <v>38</v>
      </c>
      <c r="C28" s="41" t="s">
        <v>36</v>
      </c>
      <c r="D28" s="41" t="s">
        <v>36</v>
      </c>
      <c r="E28" s="42">
        <v>0.9</v>
      </c>
    </row>
    <row r="29" spans="1:5">
      <c r="A29" s="41" t="s">
        <v>39</v>
      </c>
      <c r="B29" s="41" t="s">
        <v>40</v>
      </c>
      <c r="C29" s="41" t="s">
        <v>41</v>
      </c>
      <c r="D29" s="41" t="s">
        <v>36</v>
      </c>
      <c r="E29" s="42">
        <v>0.7</v>
      </c>
    </row>
    <row r="30" spans="1:5">
      <c r="A30" s="41" t="s">
        <v>42</v>
      </c>
      <c r="B30" s="41" t="s">
        <v>43</v>
      </c>
      <c r="C30" s="41" t="s">
        <v>41</v>
      </c>
      <c r="D30" s="41" t="s">
        <v>36</v>
      </c>
      <c r="E30" s="42">
        <v>0.4</v>
      </c>
    </row>
    <row r="31" spans="1:5">
      <c r="A31" s="41" t="s">
        <v>44</v>
      </c>
      <c r="B31" s="41" t="s">
        <v>45</v>
      </c>
      <c r="C31" s="41" t="s">
        <v>41</v>
      </c>
      <c r="D31" s="41" t="s">
        <v>36</v>
      </c>
      <c r="E31" s="42">
        <v>0.2</v>
      </c>
    </row>
    <row r="32" spans="1:5">
      <c r="A32" s="41" t="s">
        <v>46</v>
      </c>
      <c r="B32" s="41" t="s">
        <v>47</v>
      </c>
      <c r="C32" s="41" t="s">
        <v>41</v>
      </c>
      <c r="D32" s="41" t="s">
        <v>41</v>
      </c>
      <c r="E32" s="42">
        <v>0</v>
      </c>
    </row>
    <row r="33" spans="1:5">
      <c r="A33" s="41"/>
      <c r="B33" s="41"/>
      <c r="C33" s="41"/>
      <c r="D33" s="41"/>
      <c r="E33" s="41"/>
    </row>
    <row r="34" spans="1:5">
      <c r="A34" s="41"/>
      <c r="B34" s="41"/>
      <c r="C34" s="41"/>
      <c r="D34" s="41"/>
      <c r="E34" s="41"/>
    </row>
    <row r="35" spans="1:5">
      <c r="A35" s="41"/>
      <c r="B35" s="41"/>
      <c r="C35" s="41"/>
      <c r="D35" s="41"/>
      <c r="E35" s="41"/>
    </row>
    <row r="36" spans="1:5">
      <c r="A36" s="41"/>
      <c r="B36" s="41"/>
      <c r="C36" s="41"/>
      <c r="D36" s="41"/>
      <c r="E36" s="41"/>
    </row>
    <row r="38" spans="1:5">
      <c r="A38" s="13" t="s">
        <v>48</v>
      </c>
    </row>
    <row r="39" spans="1:5">
      <c r="A39" s="19" t="s">
        <v>49</v>
      </c>
      <c r="B39" s="19" t="s">
        <v>21</v>
      </c>
      <c r="C39" s="19" t="s">
        <v>23</v>
      </c>
      <c r="D39" s="19" t="s">
        <v>25</v>
      </c>
      <c r="E39" s="19" t="s">
        <v>27</v>
      </c>
    </row>
    <row r="40" spans="1:5">
      <c r="A40" s="41" t="s">
        <v>50</v>
      </c>
      <c r="B40" s="42">
        <v>0.25</v>
      </c>
      <c r="C40" s="42">
        <v>0.3</v>
      </c>
      <c r="D40" s="42">
        <v>0.2</v>
      </c>
      <c r="E40" s="42">
        <v>0.25</v>
      </c>
    </row>
    <row r="41" spans="1:5">
      <c r="A41" s="41" t="s">
        <v>51</v>
      </c>
      <c r="B41" s="42">
        <v>0.2</v>
      </c>
      <c r="C41" s="42">
        <v>0.25</v>
      </c>
      <c r="D41" s="42">
        <v>0.25</v>
      </c>
      <c r="E41" s="42">
        <v>0.3</v>
      </c>
    </row>
    <row r="42" spans="1:5">
      <c r="A42" s="41" t="s">
        <v>52</v>
      </c>
      <c r="B42" s="42">
        <v>0.15</v>
      </c>
      <c r="C42" s="42">
        <v>0.1</v>
      </c>
      <c r="D42" s="42">
        <v>0.35</v>
      </c>
      <c r="E42" s="42">
        <v>0.4</v>
      </c>
    </row>
    <row r="44" spans="1:5">
      <c r="A44" s="13" t="s">
        <v>53</v>
      </c>
    </row>
    <row r="45" spans="1:5">
      <c r="A45" s="5" t="s">
        <v>54</v>
      </c>
      <c r="B45" s="42">
        <v>90</v>
      </c>
    </row>
    <row r="46" spans="1:5">
      <c r="A46" s="5" t="s">
        <v>55</v>
      </c>
      <c r="B46" s="42">
        <v>180</v>
      </c>
    </row>
    <row r="47" spans="1:5">
      <c r="A47" s="5" t="s">
        <v>56</v>
      </c>
      <c r="B47" s="42">
        <v>360</v>
      </c>
    </row>
    <row r="50" spans="1:2">
      <c r="A50" s="13" t="s">
        <v>57</v>
      </c>
    </row>
    <row r="51" spans="1:2">
      <c r="A51" s="19" t="s">
        <v>18</v>
      </c>
      <c r="B51" s="19" t="s">
        <v>30</v>
      </c>
    </row>
    <row r="52" spans="1:2">
      <c r="A52" s="41" t="s">
        <v>58</v>
      </c>
      <c r="B52" s="41" t="s">
        <v>59</v>
      </c>
    </row>
    <row r="53" spans="1:2">
      <c r="A53" s="41" t="s">
        <v>60</v>
      </c>
      <c r="B53" s="41" t="s">
        <v>61</v>
      </c>
    </row>
    <row r="54" spans="1:2">
      <c r="A54" s="41" t="s">
        <v>62</v>
      </c>
      <c r="B54" s="41" t="s">
        <v>63</v>
      </c>
    </row>
    <row r="55" spans="1:2">
      <c r="A55" s="41" t="s">
        <v>64</v>
      </c>
      <c r="B55" s="41" t="s">
        <v>65</v>
      </c>
    </row>
    <row r="56" spans="1:2">
      <c r="A56" s="41" t="s">
        <v>66</v>
      </c>
      <c r="B56" s="41" t="s">
        <v>67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5B9BD5"/>
  </sheetPr>
  <dimension ref="A1:L6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2" width="9.7109375" customWidth="1"/>
    <col min="3" max="3" width="46.7109375" customWidth="1"/>
    <col min="4" max="5" width="8.7109375" customWidth="1"/>
    <col min="6" max="6" width="32.7109375" customWidth="1"/>
    <col min="7" max="8" width="9.7109375" customWidth="1"/>
    <col min="9" max="10" width="12.7109375" customWidth="1"/>
    <col min="11" max="11" width="9.7109375" customWidth="1"/>
    <col min="12" max="12" width="10.7109375" customWidth="1"/>
  </cols>
  <sheetData>
    <row r="1" spans="1:12">
      <c r="A1" s="12" t="s">
        <v>107</v>
      </c>
    </row>
    <row r="2" spans="1:12">
      <c r="A2" s="2" t="s">
        <v>108</v>
      </c>
    </row>
    <row r="4" spans="1:12">
      <c r="A4" s="19" t="s">
        <v>18</v>
      </c>
      <c r="B4" s="19" t="s">
        <v>109</v>
      </c>
      <c r="C4" s="19" t="s">
        <v>30</v>
      </c>
      <c r="D4" s="19" t="s">
        <v>110</v>
      </c>
      <c r="E4" s="19" t="s">
        <v>20</v>
      </c>
      <c r="F4" s="19" t="s">
        <v>111</v>
      </c>
      <c r="G4" s="19" t="s">
        <v>112</v>
      </c>
      <c r="H4" s="19" t="s">
        <v>113</v>
      </c>
      <c r="I4" s="19" t="s">
        <v>114</v>
      </c>
      <c r="J4" s="19" t="s">
        <v>115</v>
      </c>
      <c r="K4" s="19" t="s">
        <v>116</v>
      </c>
      <c r="L4" s="19" t="s">
        <v>117</v>
      </c>
    </row>
    <row r="5" spans="1:12">
      <c r="A5" s="41" t="s">
        <v>118</v>
      </c>
      <c r="B5" s="41" t="s">
        <v>21</v>
      </c>
      <c r="C5" s="41" t="s">
        <v>119</v>
      </c>
      <c r="D5" s="41" t="s">
        <v>120</v>
      </c>
      <c r="E5" s="42">
        <v>0.2</v>
      </c>
      <c r="F5" s="41" t="s">
        <v>121</v>
      </c>
      <c r="G5" s="41" t="s">
        <v>36</v>
      </c>
      <c r="H5" s="42"/>
      <c r="I5" s="41"/>
      <c r="J5" s="41" t="s">
        <v>122</v>
      </c>
      <c r="K5" s="41" t="s">
        <v>36</v>
      </c>
      <c r="L5" s="41" t="s">
        <v>123</v>
      </c>
    </row>
    <row r="6" spans="1:12">
      <c r="A6" s="41" t="s">
        <v>124</v>
      </c>
      <c r="B6" s="41" t="s">
        <v>21</v>
      </c>
      <c r="C6" s="41" t="s">
        <v>125</v>
      </c>
      <c r="D6" s="41" t="s">
        <v>120</v>
      </c>
      <c r="E6" s="42">
        <v>0.25</v>
      </c>
      <c r="F6" s="41" t="s">
        <v>126</v>
      </c>
      <c r="G6" s="41" t="s">
        <v>36</v>
      </c>
      <c r="H6" s="42"/>
      <c r="I6" s="41"/>
      <c r="J6" s="41" t="s">
        <v>122</v>
      </c>
      <c r="K6" s="41" t="s">
        <v>36</v>
      </c>
      <c r="L6" s="41" t="s">
        <v>123</v>
      </c>
    </row>
    <row r="7" spans="1:12">
      <c r="A7" s="41" t="s">
        <v>127</v>
      </c>
      <c r="B7" s="41" t="s">
        <v>21</v>
      </c>
      <c r="C7" s="41" t="s">
        <v>128</v>
      </c>
      <c r="D7" s="41" t="s">
        <v>129</v>
      </c>
      <c r="E7" s="42">
        <v>0.15</v>
      </c>
      <c r="F7" s="41" t="s">
        <v>130</v>
      </c>
      <c r="G7" s="41" t="s">
        <v>36</v>
      </c>
      <c r="H7" s="42"/>
      <c r="I7" s="41"/>
      <c r="J7" s="41" t="s">
        <v>122</v>
      </c>
      <c r="K7" s="41" t="s">
        <v>36</v>
      </c>
      <c r="L7" s="41" t="s">
        <v>131</v>
      </c>
    </row>
    <row r="8" spans="1:12">
      <c r="A8" s="41" t="s">
        <v>132</v>
      </c>
      <c r="B8" s="41" t="s">
        <v>21</v>
      </c>
      <c r="C8" s="41" t="s">
        <v>133</v>
      </c>
      <c r="D8" s="41" t="s">
        <v>120</v>
      </c>
      <c r="E8" s="42">
        <v>0.15</v>
      </c>
      <c r="F8" s="41" t="s">
        <v>134</v>
      </c>
      <c r="G8" s="41" t="s">
        <v>36</v>
      </c>
      <c r="H8" s="42"/>
      <c r="I8" s="41"/>
      <c r="J8" s="41" t="s">
        <v>122</v>
      </c>
      <c r="K8" s="41" t="s">
        <v>36</v>
      </c>
      <c r="L8" s="41" t="s">
        <v>123</v>
      </c>
    </row>
    <row r="9" spans="1:12">
      <c r="A9" s="41" t="s">
        <v>135</v>
      </c>
      <c r="B9" s="41" t="s">
        <v>21</v>
      </c>
      <c r="C9" s="41" t="s">
        <v>136</v>
      </c>
      <c r="D9" s="41" t="s">
        <v>129</v>
      </c>
      <c r="E9" s="42">
        <v>0.1</v>
      </c>
      <c r="F9" s="41" t="s">
        <v>137</v>
      </c>
      <c r="G9" s="41" t="s">
        <v>36</v>
      </c>
      <c r="H9" s="42"/>
      <c r="I9" s="41"/>
      <c r="J9" s="41" t="s">
        <v>122</v>
      </c>
      <c r="K9" s="41" t="s">
        <v>36</v>
      </c>
      <c r="L9" s="41" t="s">
        <v>131</v>
      </c>
    </row>
    <row r="10" spans="1:12">
      <c r="A10" s="41" t="s">
        <v>138</v>
      </c>
      <c r="B10" s="41" t="s">
        <v>21</v>
      </c>
      <c r="C10" s="41" t="s">
        <v>139</v>
      </c>
      <c r="D10" s="41" t="s">
        <v>120</v>
      </c>
      <c r="E10" s="42">
        <v>0.15</v>
      </c>
      <c r="F10" s="41" t="s">
        <v>140</v>
      </c>
      <c r="G10" s="41" t="s">
        <v>41</v>
      </c>
      <c r="H10" s="42">
        <v>1</v>
      </c>
      <c r="I10" s="41" t="s">
        <v>141</v>
      </c>
      <c r="J10" s="41" t="s">
        <v>122</v>
      </c>
      <c r="K10" s="41" t="s">
        <v>36</v>
      </c>
      <c r="L10" s="41" t="s">
        <v>123</v>
      </c>
    </row>
    <row r="11" spans="1:12">
      <c r="A11" s="41" t="s">
        <v>142</v>
      </c>
      <c r="B11" s="41" t="s">
        <v>23</v>
      </c>
      <c r="C11" s="41" t="s">
        <v>143</v>
      </c>
      <c r="D11" s="41" t="s">
        <v>129</v>
      </c>
      <c r="E11" s="42">
        <v>0.1</v>
      </c>
      <c r="F11" s="41" t="s">
        <v>144</v>
      </c>
      <c r="G11" s="41" t="s">
        <v>41</v>
      </c>
      <c r="H11" s="42">
        <v>1</v>
      </c>
      <c r="I11" s="41" t="s">
        <v>145</v>
      </c>
      <c r="J11" s="41" t="s">
        <v>122</v>
      </c>
      <c r="K11" s="41" t="s">
        <v>36</v>
      </c>
      <c r="L11" s="41" t="s">
        <v>131</v>
      </c>
    </row>
    <row r="12" spans="1:12">
      <c r="A12" s="41" t="s">
        <v>146</v>
      </c>
      <c r="B12" s="41" t="s">
        <v>23</v>
      </c>
      <c r="C12" s="41" t="s">
        <v>147</v>
      </c>
      <c r="D12" s="41" t="s">
        <v>129</v>
      </c>
      <c r="E12" s="42">
        <v>0.15</v>
      </c>
      <c r="F12" s="41" t="s">
        <v>148</v>
      </c>
      <c r="G12" s="41" t="s">
        <v>36</v>
      </c>
      <c r="H12" s="42"/>
      <c r="I12" s="41"/>
      <c r="J12" s="41" t="s">
        <v>122</v>
      </c>
      <c r="K12" s="41" t="s">
        <v>36</v>
      </c>
      <c r="L12" s="41" t="s">
        <v>131</v>
      </c>
    </row>
    <row r="13" spans="1:12">
      <c r="A13" s="41" t="s">
        <v>149</v>
      </c>
      <c r="B13" s="41" t="s">
        <v>23</v>
      </c>
      <c r="C13" s="41" t="s">
        <v>150</v>
      </c>
      <c r="D13" s="41" t="s">
        <v>129</v>
      </c>
      <c r="E13" s="42">
        <v>0.1</v>
      </c>
      <c r="F13" s="41" t="s">
        <v>151</v>
      </c>
      <c r="G13" s="41" t="s">
        <v>36</v>
      </c>
      <c r="H13" s="42"/>
      <c r="I13" s="41"/>
      <c r="J13" s="41" t="s">
        <v>122</v>
      </c>
      <c r="K13" s="41" t="s">
        <v>36</v>
      </c>
      <c r="L13" s="41" t="s">
        <v>131</v>
      </c>
    </row>
    <row r="14" spans="1:12">
      <c r="A14" s="41" t="s">
        <v>152</v>
      </c>
      <c r="B14" s="41" t="s">
        <v>23</v>
      </c>
      <c r="C14" s="41" t="s">
        <v>153</v>
      </c>
      <c r="D14" s="41" t="s">
        <v>120</v>
      </c>
      <c r="E14" s="42">
        <v>0.1</v>
      </c>
      <c r="F14" s="41" t="s">
        <v>154</v>
      </c>
      <c r="G14" s="41" t="s">
        <v>36</v>
      </c>
      <c r="H14" s="42"/>
      <c r="I14" s="41"/>
      <c r="J14" s="41" t="s">
        <v>122</v>
      </c>
      <c r="K14" s="41" t="s">
        <v>36</v>
      </c>
      <c r="L14" s="41" t="s">
        <v>123</v>
      </c>
    </row>
    <row r="15" spans="1:12">
      <c r="A15" s="41" t="s">
        <v>155</v>
      </c>
      <c r="B15" s="41" t="s">
        <v>23</v>
      </c>
      <c r="C15" s="41" t="s">
        <v>156</v>
      </c>
      <c r="D15" s="41" t="s">
        <v>129</v>
      </c>
      <c r="E15" s="42">
        <v>0.05</v>
      </c>
      <c r="F15" s="41" t="s">
        <v>157</v>
      </c>
      <c r="G15" s="41" t="s">
        <v>36</v>
      </c>
      <c r="H15" s="42"/>
      <c r="I15" s="41"/>
      <c r="J15" s="41" t="s">
        <v>122</v>
      </c>
      <c r="K15" s="41" t="s">
        <v>36</v>
      </c>
      <c r="L15" s="41" t="s">
        <v>131</v>
      </c>
    </row>
    <row r="16" spans="1:12">
      <c r="A16" s="41" t="s">
        <v>158</v>
      </c>
      <c r="B16" s="41" t="s">
        <v>23</v>
      </c>
      <c r="C16" s="41" t="s">
        <v>159</v>
      </c>
      <c r="D16" s="41" t="s">
        <v>129</v>
      </c>
      <c r="E16" s="42">
        <v>0.05</v>
      </c>
      <c r="F16" s="41" t="s">
        <v>160</v>
      </c>
      <c r="G16" s="41" t="s">
        <v>36</v>
      </c>
      <c r="H16" s="42"/>
      <c r="I16" s="41"/>
      <c r="J16" s="41" t="s">
        <v>122</v>
      </c>
      <c r="K16" s="41" t="s">
        <v>36</v>
      </c>
      <c r="L16" s="41" t="s">
        <v>131</v>
      </c>
    </row>
    <row r="17" spans="1:12">
      <c r="A17" s="41" t="s">
        <v>161</v>
      </c>
      <c r="B17" s="41" t="s">
        <v>23</v>
      </c>
      <c r="C17" s="41" t="s">
        <v>162</v>
      </c>
      <c r="D17" s="41" t="s">
        <v>120</v>
      </c>
      <c r="E17" s="42">
        <v>0.05</v>
      </c>
      <c r="F17" s="41" t="s">
        <v>163</v>
      </c>
      <c r="G17" s="41" t="s">
        <v>36</v>
      </c>
      <c r="H17" s="42"/>
      <c r="I17" s="41"/>
      <c r="J17" s="41" t="s">
        <v>122</v>
      </c>
      <c r="K17" s="41" t="s">
        <v>36</v>
      </c>
      <c r="L17" s="41" t="s">
        <v>123</v>
      </c>
    </row>
    <row r="18" spans="1:12">
      <c r="A18" s="41" t="s">
        <v>164</v>
      </c>
      <c r="B18" s="41" t="s">
        <v>23</v>
      </c>
      <c r="C18" s="41" t="s">
        <v>165</v>
      </c>
      <c r="D18" s="41" t="s">
        <v>120</v>
      </c>
      <c r="E18" s="42">
        <v>0.1</v>
      </c>
      <c r="F18" s="41" t="s">
        <v>166</v>
      </c>
      <c r="G18" s="41" t="s">
        <v>36</v>
      </c>
      <c r="H18" s="42"/>
      <c r="I18" s="41" t="s">
        <v>145</v>
      </c>
      <c r="J18" s="41" t="s">
        <v>122</v>
      </c>
      <c r="K18" s="41" t="s">
        <v>36</v>
      </c>
      <c r="L18" s="41" t="s">
        <v>167</v>
      </c>
    </row>
    <row r="19" spans="1:12">
      <c r="A19" s="41" t="s">
        <v>168</v>
      </c>
      <c r="B19" s="41" t="s">
        <v>23</v>
      </c>
      <c r="C19" s="41" t="s">
        <v>169</v>
      </c>
      <c r="D19" s="41" t="s">
        <v>129</v>
      </c>
      <c r="E19" s="42">
        <v>0.1</v>
      </c>
      <c r="F19" s="41" t="s">
        <v>170</v>
      </c>
      <c r="G19" s="41" t="s">
        <v>36</v>
      </c>
      <c r="H19" s="42"/>
      <c r="I19" s="41"/>
      <c r="J19" s="41" t="s">
        <v>122</v>
      </c>
      <c r="K19" s="41" t="s">
        <v>36</v>
      </c>
      <c r="L19" s="41" t="s">
        <v>131</v>
      </c>
    </row>
    <row r="20" spans="1:12">
      <c r="A20" s="41" t="s">
        <v>171</v>
      </c>
      <c r="B20" s="41" t="s">
        <v>23</v>
      </c>
      <c r="C20" s="41" t="s">
        <v>172</v>
      </c>
      <c r="D20" s="41" t="s">
        <v>129</v>
      </c>
      <c r="E20" s="42">
        <v>0.1</v>
      </c>
      <c r="F20" s="41" t="s">
        <v>173</v>
      </c>
      <c r="G20" s="41" t="s">
        <v>36</v>
      </c>
      <c r="H20" s="42"/>
      <c r="I20" s="41"/>
      <c r="J20" s="41" t="s">
        <v>122</v>
      </c>
      <c r="K20" s="41" t="s">
        <v>36</v>
      </c>
      <c r="L20" s="41" t="s">
        <v>131</v>
      </c>
    </row>
    <row r="21" spans="1:12">
      <c r="A21" s="41" t="s">
        <v>174</v>
      </c>
      <c r="B21" s="41" t="s">
        <v>23</v>
      </c>
      <c r="C21" s="41" t="s">
        <v>175</v>
      </c>
      <c r="D21" s="41" t="s">
        <v>120</v>
      </c>
      <c r="E21" s="42">
        <v>0.05</v>
      </c>
      <c r="F21" s="41" t="s">
        <v>176</v>
      </c>
      <c r="G21" s="41" t="s">
        <v>36</v>
      </c>
      <c r="H21" s="42"/>
      <c r="I21" s="41"/>
      <c r="J21" s="41" t="s">
        <v>122</v>
      </c>
      <c r="K21" s="41" t="s">
        <v>36</v>
      </c>
      <c r="L21" s="41" t="s">
        <v>167</v>
      </c>
    </row>
    <row r="22" spans="1:12">
      <c r="A22" s="41" t="s">
        <v>177</v>
      </c>
      <c r="B22" s="41" t="s">
        <v>23</v>
      </c>
      <c r="C22" s="41" t="s">
        <v>178</v>
      </c>
      <c r="D22" s="41" t="s">
        <v>129</v>
      </c>
      <c r="E22" s="42">
        <v>0.05</v>
      </c>
      <c r="F22" s="41" t="s">
        <v>179</v>
      </c>
      <c r="G22" s="41" t="s">
        <v>36</v>
      </c>
      <c r="H22" s="42"/>
      <c r="I22" s="41"/>
      <c r="J22" s="41" t="s">
        <v>122</v>
      </c>
      <c r="K22" s="41" t="s">
        <v>36</v>
      </c>
      <c r="L22" s="41" t="s">
        <v>131</v>
      </c>
    </row>
    <row r="23" spans="1:12">
      <c r="A23" s="41" t="s">
        <v>180</v>
      </c>
      <c r="B23" s="41" t="s">
        <v>25</v>
      </c>
      <c r="C23" s="41" t="s">
        <v>181</v>
      </c>
      <c r="D23" s="41" t="s">
        <v>120</v>
      </c>
      <c r="E23" s="42">
        <v>0.15</v>
      </c>
      <c r="F23" s="41" t="s">
        <v>182</v>
      </c>
      <c r="G23" s="41" t="s">
        <v>36</v>
      </c>
      <c r="H23" s="42"/>
      <c r="I23" s="41"/>
      <c r="J23" s="41" t="s">
        <v>122</v>
      </c>
      <c r="K23" s="41" t="s">
        <v>41</v>
      </c>
      <c r="L23" s="41" t="s">
        <v>123</v>
      </c>
    </row>
    <row r="24" spans="1:12">
      <c r="A24" s="41" t="s">
        <v>183</v>
      </c>
      <c r="B24" s="41" t="s">
        <v>25</v>
      </c>
      <c r="C24" s="41" t="s">
        <v>184</v>
      </c>
      <c r="D24" s="41" t="s">
        <v>120</v>
      </c>
      <c r="E24" s="42">
        <v>0.1</v>
      </c>
      <c r="F24" s="41" t="s">
        <v>185</v>
      </c>
      <c r="G24" s="41" t="s">
        <v>36</v>
      </c>
      <c r="H24" s="42"/>
      <c r="I24" s="41"/>
      <c r="J24" s="41" t="s">
        <v>122</v>
      </c>
      <c r="K24" s="41" t="s">
        <v>36</v>
      </c>
      <c r="L24" s="41" t="s">
        <v>123</v>
      </c>
    </row>
    <row r="25" spans="1:12">
      <c r="A25" s="41" t="s">
        <v>186</v>
      </c>
      <c r="B25" s="41" t="s">
        <v>25</v>
      </c>
      <c r="C25" s="41" t="s">
        <v>187</v>
      </c>
      <c r="D25" s="41" t="s">
        <v>120</v>
      </c>
      <c r="E25" s="42">
        <v>0.05</v>
      </c>
      <c r="F25" s="41" t="s">
        <v>188</v>
      </c>
      <c r="G25" s="41" t="s">
        <v>36</v>
      </c>
      <c r="H25" s="42"/>
      <c r="I25" s="41"/>
      <c r="J25" s="41" t="s">
        <v>122</v>
      </c>
      <c r="K25" s="41" t="s">
        <v>36</v>
      </c>
      <c r="L25" s="41" t="s">
        <v>123</v>
      </c>
    </row>
    <row r="26" spans="1:12">
      <c r="A26" s="41" t="s">
        <v>189</v>
      </c>
      <c r="B26" s="41" t="s">
        <v>25</v>
      </c>
      <c r="C26" s="41" t="s">
        <v>190</v>
      </c>
      <c r="D26" s="41" t="s">
        <v>120</v>
      </c>
      <c r="E26" s="42">
        <v>0.2</v>
      </c>
      <c r="F26" s="41" t="s">
        <v>191</v>
      </c>
      <c r="G26" s="41" t="s">
        <v>36</v>
      </c>
      <c r="H26" s="42"/>
      <c r="I26" s="41"/>
      <c r="J26" s="41" t="s">
        <v>122</v>
      </c>
      <c r="K26" s="41" t="s">
        <v>41</v>
      </c>
      <c r="L26" s="41" t="s">
        <v>123</v>
      </c>
    </row>
    <row r="27" spans="1:12">
      <c r="A27" s="41" t="s">
        <v>192</v>
      </c>
      <c r="B27" s="41" t="s">
        <v>25</v>
      </c>
      <c r="C27" s="41" t="s">
        <v>193</v>
      </c>
      <c r="D27" s="41" t="s">
        <v>120</v>
      </c>
      <c r="E27" s="42">
        <v>0.15</v>
      </c>
      <c r="F27" s="41" t="s">
        <v>194</v>
      </c>
      <c r="G27" s="41" t="s">
        <v>36</v>
      </c>
      <c r="H27" s="42"/>
      <c r="I27" s="41"/>
      <c r="J27" s="41" t="s">
        <v>122</v>
      </c>
      <c r="K27" s="41" t="s">
        <v>41</v>
      </c>
      <c r="L27" s="41" t="s">
        <v>123</v>
      </c>
    </row>
    <row r="28" spans="1:12">
      <c r="A28" s="41" t="s">
        <v>195</v>
      </c>
      <c r="B28" s="41" t="s">
        <v>25</v>
      </c>
      <c r="C28" s="41" t="s">
        <v>196</v>
      </c>
      <c r="D28" s="41" t="s">
        <v>120</v>
      </c>
      <c r="E28" s="42">
        <v>0.05</v>
      </c>
      <c r="F28" s="41" t="s">
        <v>197</v>
      </c>
      <c r="G28" s="41" t="s">
        <v>36</v>
      </c>
      <c r="H28" s="42"/>
      <c r="I28" s="41"/>
      <c r="J28" s="41" t="s">
        <v>122</v>
      </c>
      <c r="K28" s="41" t="s">
        <v>36</v>
      </c>
      <c r="L28" s="41" t="s">
        <v>123</v>
      </c>
    </row>
    <row r="29" spans="1:12">
      <c r="A29" s="41" t="s">
        <v>198</v>
      </c>
      <c r="B29" s="41" t="s">
        <v>25</v>
      </c>
      <c r="C29" s="41" t="s">
        <v>199</v>
      </c>
      <c r="D29" s="41" t="s">
        <v>120</v>
      </c>
      <c r="E29" s="42">
        <v>0.1</v>
      </c>
      <c r="F29" s="41" t="s">
        <v>200</v>
      </c>
      <c r="G29" s="41" t="s">
        <v>36</v>
      </c>
      <c r="H29" s="42"/>
      <c r="I29" s="41"/>
      <c r="J29" s="41" t="s">
        <v>122</v>
      </c>
      <c r="K29" s="41" t="s">
        <v>36</v>
      </c>
      <c r="L29" s="41" t="s">
        <v>123</v>
      </c>
    </row>
    <row r="30" spans="1:12">
      <c r="A30" s="41" t="s">
        <v>201</v>
      </c>
      <c r="B30" s="41" t="s">
        <v>25</v>
      </c>
      <c r="C30" s="41" t="s">
        <v>202</v>
      </c>
      <c r="D30" s="41" t="s">
        <v>120</v>
      </c>
      <c r="E30" s="42">
        <v>0.05</v>
      </c>
      <c r="F30" s="41" t="s">
        <v>203</v>
      </c>
      <c r="G30" s="41" t="s">
        <v>36</v>
      </c>
      <c r="H30" s="42"/>
      <c r="I30" s="41"/>
      <c r="J30" s="41" t="s">
        <v>122</v>
      </c>
      <c r="K30" s="41" t="s">
        <v>36</v>
      </c>
      <c r="L30" s="41" t="s">
        <v>167</v>
      </c>
    </row>
    <row r="31" spans="1:12">
      <c r="A31" s="41" t="s">
        <v>204</v>
      </c>
      <c r="B31" s="41" t="s">
        <v>25</v>
      </c>
      <c r="C31" s="41" t="s">
        <v>205</v>
      </c>
      <c r="D31" s="41" t="s">
        <v>120</v>
      </c>
      <c r="E31" s="42">
        <v>0.05</v>
      </c>
      <c r="F31" s="41" t="s">
        <v>206</v>
      </c>
      <c r="G31" s="41" t="s">
        <v>36</v>
      </c>
      <c r="H31" s="42"/>
      <c r="I31" s="41"/>
      <c r="J31" s="41" t="s">
        <v>122</v>
      </c>
      <c r="K31" s="41" t="s">
        <v>36</v>
      </c>
      <c r="L31" s="41" t="s">
        <v>167</v>
      </c>
    </row>
    <row r="32" spans="1:12">
      <c r="A32" s="41" t="s">
        <v>207</v>
      </c>
      <c r="B32" s="41" t="s">
        <v>25</v>
      </c>
      <c r="C32" s="41" t="s">
        <v>208</v>
      </c>
      <c r="D32" s="41" t="s">
        <v>120</v>
      </c>
      <c r="E32" s="42">
        <v>0.1</v>
      </c>
      <c r="F32" s="41" t="s">
        <v>209</v>
      </c>
      <c r="G32" s="41" t="s">
        <v>36</v>
      </c>
      <c r="H32" s="42"/>
      <c r="I32" s="41"/>
      <c r="J32" s="41" t="s">
        <v>122</v>
      </c>
      <c r="K32" s="41" t="s">
        <v>36</v>
      </c>
      <c r="L32" s="41" t="s">
        <v>167</v>
      </c>
    </row>
    <row r="33" spans="1:12">
      <c r="A33" s="41" t="s">
        <v>210</v>
      </c>
      <c r="B33" s="41" t="s">
        <v>27</v>
      </c>
      <c r="C33" s="41" t="s">
        <v>211</v>
      </c>
      <c r="D33" s="41" t="s">
        <v>120</v>
      </c>
      <c r="E33" s="42">
        <v>0.15</v>
      </c>
      <c r="F33" s="41" t="s">
        <v>212</v>
      </c>
      <c r="G33" s="41" t="s">
        <v>36</v>
      </c>
      <c r="H33" s="42"/>
      <c r="I33" s="41"/>
      <c r="J33" s="41" t="s">
        <v>122</v>
      </c>
      <c r="K33" s="41" t="s">
        <v>41</v>
      </c>
      <c r="L33" s="41" t="s">
        <v>123</v>
      </c>
    </row>
    <row r="34" spans="1:12">
      <c r="A34" s="41" t="s">
        <v>213</v>
      </c>
      <c r="B34" s="41" t="s">
        <v>27</v>
      </c>
      <c r="C34" s="41" t="s">
        <v>214</v>
      </c>
      <c r="D34" s="41" t="s">
        <v>120</v>
      </c>
      <c r="E34" s="42">
        <v>0.1</v>
      </c>
      <c r="F34" s="41" t="s">
        <v>215</v>
      </c>
      <c r="G34" s="41" t="s">
        <v>36</v>
      </c>
      <c r="H34" s="42"/>
      <c r="I34" s="41"/>
      <c r="J34" s="41" t="s">
        <v>122</v>
      </c>
      <c r="K34" s="41" t="s">
        <v>36</v>
      </c>
      <c r="L34" s="41" t="s">
        <v>123</v>
      </c>
    </row>
    <row r="35" spans="1:12">
      <c r="A35" s="41" t="s">
        <v>216</v>
      </c>
      <c r="B35" s="41" t="s">
        <v>27</v>
      </c>
      <c r="C35" s="41" t="s">
        <v>217</v>
      </c>
      <c r="D35" s="41" t="s">
        <v>120</v>
      </c>
      <c r="E35" s="42">
        <v>0.2</v>
      </c>
      <c r="F35" s="41" t="s">
        <v>218</v>
      </c>
      <c r="G35" s="41" t="s">
        <v>36</v>
      </c>
      <c r="H35" s="42"/>
      <c r="I35" s="41"/>
      <c r="J35" s="41" t="s">
        <v>219</v>
      </c>
      <c r="K35" s="41" t="s">
        <v>36</v>
      </c>
      <c r="L35" s="41" t="s">
        <v>123</v>
      </c>
    </row>
    <row r="36" spans="1:12">
      <c r="A36" s="41" t="s">
        <v>220</v>
      </c>
      <c r="B36" s="41" t="s">
        <v>27</v>
      </c>
      <c r="C36" s="41" t="s">
        <v>221</v>
      </c>
      <c r="D36" s="41" t="s">
        <v>120</v>
      </c>
      <c r="E36" s="42">
        <v>0.1</v>
      </c>
      <c r="F36" s="41" t="s">
        <v>222</v>
      </c>
      <c r="G36" s="41" t="s">
        <v>36</v>
      </c>
      <c r="H36" s="42"/>
      <c r="I36" s="41"/>
      <c r="J36" s="41" t="s">
        <v>219</v>
      </c>
      <c r="K36" s="41" t="s">
        <v>36</v>
      </c>
      <c r="L36" s="41" t="s">
        <v>123</v>
      </c>
    </row>
    <row r="37" spans="1:12">
      <c r="A37" s="41" t="s">
        <v>223</v>
      </c>
      <c r="B37" s="41" t="s">
        <v>27</v>
      </c>
      <c r="C37" s="41" t="s">
        <v>224</v>
      </c>
      <c r="D37" s="41" t="s">
        <v>129</v>
      </c>
      <c r="E37" s="42">
        <v>0.1</v>
      </c>
      <c r="F37" s="41" t="s">
        <v>225</v>
      </c>
      <c r="G37" s="41" t="s">
        <v>36</v>
      </c>
      <c r="H37" s="42"/>
      <c r="I37" s="41"/>
      <c r="J37" s="41" t="s">
        <v>219</v>
      </c>
      <c r="K37" s="41" t="s">
        <v>36</v>
      </c>
      <c r="L37" s="41" t="s">
        <v>131</v>
      </c>
    </row>
    <row r="38" spans="1:12">
      <c r="A38" s="41" t="s">
        <v>226</v>
      </c>
      <c r="B38" s="41" t="s">
        <v>27</v>
      </c>
      <c r="C38" s="41" t="s">
        <v>227</v>
      </c>
      <c r="D38" s="41" t="s">
        <v>120</v>
      </c>
      <c r="E38" s="42">
        <v>0.1</v>
      </c>
      <c r="F38" s="41" t="s">
        <v>228</v>
      </c>
      <c r="G38" s="41" t="s">
        <v>36</v>
      </c>
      <c r="H38" s="42"/>
      <c r="I38" s="41"/>
      <c r="J38" s="41" t="s">
        <v>122</v>
      </c>
      <c r="K38" s="41" t="s">
        <v>36</v>
      </c>
      <c r="L38" s="41" t="s">
        <v>123</v>
      </c>
    </row>
    <row r="39" spans="1:12">
      <c r="A39" s="41" t="s">
        <v>229</v>
      </c>
      <c r="B39" s="41" t="s">
        <v>27</v>
      </c>
      <c r="C39" s="41" t="s">
        <v>230</v>
      </c>
      <c r="D39" s="41" t="s">
        <v>120</v>
      </c>
      <c r="E39" s="42">
        <v>0.05</v>
      </c>
      <c r="F39" s="41" t="s">
        <v>231</v>
      </c>
      <c r="G39" s="41" t="s">
        <v>36</v>
      </c>
      <c r="H39" s="42"/>
      <c r="I39" s="41"/>
      <c r="J39" s="41" t="s">
        <v>219</v>
      </c>
      <c r="K39" s="41" t="s">
        <v>36</v>
      </c>
      <c r="L39" s="41" t="s">
        <v>232</v>
      </c>
    </row>
    <row r="40" spans="1:12">
      <c r="A40" s="41" t="s">
        <v>233</v>
      </c>
      <c r="B40" s="41" t="s">
        <v>27</v>
      </c>
      <c r="C40" s="41" t="s">
        <v>234</v>
      </c>
      <c r="D40" s="41" t="s">
        <v>120</v>
      </c>
      <c r="E40" s="42">
        <v>0.1</v>
      </c>
      <c r="F40" s="41" t="s">
        <v>235</v>
      </c>
      <c r="G40" s="41" t="s">
        <v>36</v>
      </c>
      <c r="H40" s="42"/>
      <c r="I40" s="41"/>
      <c r="J40" s="41" t="s">
        <v>219</v>
      </c>
      <c r="K40" s="41" t="s">
        <v>36</v>
      </c>
      <c r="L40" s="41" t="s">
        <v>167</v>
      </c>
    </row>
    <row r="41" spans="1:12">
      <c r="A41" s="41" t="s">
        <v>236</v>
      </c>
      <c r="B41" s="41" t="s">
        <v>27</v>
      </c>
      <c r="C41" s="41" t="s">
        <v>237</v>
      </c>
      <c r="D41" s="41" t="s">
        <v>120</v>
      </c>
      <c r="E41" s="42">
        <v>0.1</v>
      </c>
      <c r="F41" s="41" t="s">
        <v>238</v>
      </c>
      <c r="G41" s="41" t="s">
        <v>36</v>
      </c>
      <c r="H41" s="42"/>
      <c r="I41" s="41"/>
      <c r="J41" s="41" t="s">
        <v>122</v>
      </c>
      <c r="K41" s="41" t="s">
        <v>36</v>
      </c>
      <c r="L41" s="41" t="s">
        <v>167</v>
      </c>
    </row>
    <row r="42" spans="1:12">
      <c r="A42" s="41"/>
      <c r="B42" s="41"/>
      <c r="C42" s="41"/>
      <c r="D42" s="41"/>
      <c r="E42" s="42"/>
      <c r="F42" s="41"/>
      <c r="G42" s="41"/>
      <c r="H42" s="42"/>
      <c r="I42" s="41"/>
      <c r="J42" s="41"/>
      <c r="K42" s="41"/>
      <c r="L42" s="41"/>
    </row>
    <row r="43" spans="1:12">
      <c r="A43" s="41"/>
      <c r="B43" s="41"/>
      <c r="C43" s="41"/>
      <c r="D43" s="41"/>
      <c r="E43" s="42"/>
      <c r="F43" s="41"/>
      <c r="G43" s="41"/>
      <c r="H43" s="42"/>
      <c r="I43" s="41"/>
      <c r="J43" s="41"/>
      <c r="K43" s="41"/>
      <c r="L43" s="41"/>
    </row>
    <row r="44" spans="1:12">
      <c r="A44" s="41"/>
      <c r="B44" s="41"/>
      <c r="C44" s="41"/>
      <c r="D44" s="41"/>
      <c r="E44" s="42"/>
      <c r="F44" s="41"/>
      <c r="G44" s="41"/>
      <c r="H44" s="42"/>
      <c r="I44" s="41"/>
      <c r="J44" s="41"/>
      <c r="K44" s="41"/>
      <c r="L44" s="41"/>
    </row>
    <row r="45" spans="1:12">
      <c r="A45" s="41"/>
      <c r="B45" s="41"/>
      <c r="C45" s="41"/>
      <c r="D45" s="41"/>
      <c r="E45" s="42"/>
      <c r="F45" s="41"/>
      <c r="G45" s="41"/>
      <c r="H45" s="42"/>
      <c r="I45" s="41"/>
      <c r="J45" s="41"/>
      <c r="K45" s="41"/>
      <c r="L45" s="41"/>
    </row>
    <row r="46" spans="1:12">
      <c r="A46" s="41"/>
      <c r="B46" s="41"/>
      <c r="C46" s="41"/>
      <c r="D46" s="41"/>
      <c r="E46" s="42"/>
      <c r="F46" s="41"/>
      <c r="G46" s="41"/>
      <c r="H46" s="42"/>
      <c r="I46" s="41"/>
      <c r="J46" s="41"/>
      <c r="K46" s="41"/>
      <c r="L46" s="41"/>
    </row>
    <row r="47" spans="1:12">
      <c r="A47" s="41"/>
      <c r="B47" s="41"/>
      <c r="C47" s="41"/>
      <c r="D47" s="41"/>
      <c r="E47" s="42"/>
      <c r="F47" s="41"/>
      <c r="G47" s="41"/>
      <c r="H47" s="42"/>
      <c r="I47" s="41"/>
      <c r="J47" s="41"/>
      <c r="K47" s="41"/>
      <c r="L47" s="41"/>
    </row>
    <row r="48" spans="1:12">
      <c r="A48" s="41"/>
      <c r="B48" s="41"/>
      <c r="C48" s="41"/>
      <c r="D48" s="41"/>
      <c r="E48" s="42"/>
      <c r="F48" s="41"/>
      <c r="G48" s="41"/>
      <c r="H48" s="42"/>
      <c r="I48" s="41"/>
      <c r="J48" s="41"/>
      <c r="K48" s="41"/>
      <c r="L48" s="41"/>
    </row>
    <row r="49" spans="1:12">
      <c r="A49" s="41"/>
      <c r="B49" s="41"/>
      <c r="C49" s="41"/>
      <c r="D49" s="41"/>
      <c r="E49" s="42"/>
      <c r="F49" s="41"/>
      <c r="G49" s="41"/>
      <c r="H49" s="42"/>
      <c r="I49" s="41"/>
      <c r="J49" s="41"/>
      <c r="K49" s="41"/>
      <c r="L49" s="41"/>
    </row>
    <row r="50" spans="1:12">
      <c r="A50" s="41"/>
      <c r="B50" s="41"/>
      <c r="C50" s="41"/>
      <c r="D50" s="41"/>
      <c r="E50" s="42"/>
      <c r="F50" s="41"/>
      <c r="G50" s="41"/>
      <c r="H50" s="42"/>
      <c r="I50" s="41"/>
      <c r="J50" s="41"/>
      <c r="K50" s="41"/>
      <c r="L50" s="41"/>
    </row>
    <row r="51" spans="1:12">
      <c r="A51" s="41"/>
      <c r="B51" s="41"/>
      <c r="C51" s="41"/>
      <c r="D51" s="41"/>
      <c r="E51" s="42"/>
      <c r="F51" s="41"/>
      <c r="G51" s="41"/>
      <c r="H51" s="42"/>
      <c r="I51" s="41"/>
      <c r="J51" s="41"/>
      <c r="K51" s="41"/>
      <c r="L51" s="41"/>
    </row>
    <row r="52" spans="1:12">
      <c r="A52" s="41"/>
      <c r="B52" s="41"/>
      <c r="C52" s="41"/>
      <c r="D52" s="41"/>
      <c r="E52" s="42"/>
      <c r="F52" s="41"/>
      <c r="G52" s="41"/>
      <c r="H52" s="42"/>
      <c r="I52" s="41"/>
      <c r="J52" s="41"/>
      <c r="K52" s="41"/>
      <c r="L52" s="41"/>
    </row>
    <row r="53" spans="1:12">
      <c r="A53" s="41"/>
      <c r="B53" s="41"/>
      <c r="C53" s="41"/>
      <c r="D53" s="41"/>
      <c r="E53" s="42"/>
      <c r="F53" s="41"/>
      <c r="G53" s="41"/>
      <c r="H53" s="42"/>
      <c r="I53" s="41"/>
      <c r="J53" s="41"/>
      <c r="K53" s="41"/>
      <c r="L53" s="41"/>
    </row>
    <row r="54" spans="1:12">
      <c r="A54" s="41"/>
      <c r="B54" s="41"/>
      <c r="C54" s="41"/>
      <c r="D54" s="41"/>
      <c r="E54" s="42"/>
      <c r="F54" s="41"/>
      <c r="G54" s="41"/>
      <c r="H54" s="42"/>
      <c r="I54" s="41"/>
      <c r="J54" s="41"/>
      <c r="K54" s="41"/>
      <c r="L54" s="41"/>
    </row>
    <row r="55" spans="1:12">
      <c r="A55" s="41"/>
      <c r="B55" s="41"/>
      <c r="C55" s="41"/>
      <c r="D55" s="41"/>
      <c r="E55" s="42"/>
      <c r="F55" s="41"/>
      <c r="G55" s="41"/>
      <c r="H55" s="42"/>
      <c r="I55" s="41"/>
      <c r="J55" s="41"/>
      <c r="K55" s="41"/>
      <c r="L55" s="41"/>
    </row>
    <row r="56" spans="1:12">
      <c r="A56" s="41"/>
      <c r="B56" s="41"/>
      <c r="C56" s="41"/>
      <c r="D56" s="41"/>
      <c r="E56" s="42"/>
      <c r="F56" s="41"/>
      <c r="G56" s="41"/>
      <c r="H56" s="42"/>
      <c r="I56" s="41"/>
      <c r="J56" s="41"/>
      <c r="K56" s="41"/>
      <c r="L56" s="41"/>
    </row>
    <row r="57" spans="1:12">
      <c r="A57" s="41"/>
      <c r="B57" s="41"/>
      <c r="C57" s="41"/>
      <c r="D57" s="41"/>
      <c r="E57" s="42"/>
      <c r="F57" s="41"/>
      <c r="G57" s="41"/>
      <c r="H57" s="42"/>
      <c r="I57" s="41"/>
      <c r="J57" s="41"/>
      <c r="K57" s="41"/>
      <c r="L57" s="41"/>
    </row>
    <row r="58" spans="1:12">
      <c r="A58" s="41"/>
      <c r="B58" s="41"/>
      <c r="C58" s="41"/>
      <c r="D58" s="41"/>
      <c r="E58" s="42"/>
      <c r="F58" s="41"/>
      <c r="G58" s="41"/>
      <c r="H58" s="42"/>
      <c r="I58" s="41"/>
      <c r="J58" s="41"/>
      <c r="K58" s="41"/>
      <c r="L58" s="41"/>
    </row>
    <row r="59" spans="1:12">
      <c r="A59" s="41"/>
      <c r="B59" s="41"/>
      <c r="C59" s="41"/>
      <c r="D59" s="41"/>
      <c r="E59" s="42"/>
      <c r="F59" s="41"/>
      <c r="G59" s="41"/>
      <c r="H59" s="42"/>
      <c r="I59" s="41"/>
      <c r="J59" s="41"/>
      <c r="K59" s="41"/>
      <c r="L59" s="41"/>
    </row>
    <row r="60" spans="1:12">
      <c r="A60" s="41"/>
      <c r="B60" s="41"/>
      <c r="C60" s="41"/>
      <c r="D60" s="41"/>
      <c r="E60" s="42"/>
      <c r="F60" s="41"/>
      <c r="G60" s="41"/>
      <c r="H60" s="42"/>
      <c r="I60" s="41"/>
      <c r="J60" s="41"/>
      <c r="K60" s="41"/>
      <c r="L60" s="41"/>
    </row>
    <row r="61" spans="1:12">
      <c r="A61" s="41"/>
      <c r="B61" s="41"/>
      <c r="C61" s="41"/>
      <c r="D61" s="41"/>
      <c r="E61" s="42"/>
      <c r="F61" s="41"/>
      <c r="G61" s="41"/>
      <c r="H61" s="42"/>
      <c r="I61" s="41"/>
      <c r="J61" s="41"/>
      <c r="K61" s="41"/>
      <c r="L61" s="41"/>
    </row>
    <row r="62" spans="1:12">
      <c r="A62" s="41"/>
      <c r="B62" s="41"/>
      <c r="C62" s="41"/>
      <c r="D62" s="41"/>
      <c r="E62" s="42"/>
      <c r="F62" s="41"/>
      <c r="G62" s="41"/>
      <c r="H62" s="42"/>
      <c r="I62" s="41"/>
      <c r="J62" s="41"/>
      <c r="K62" s="41"/>
      <c r="L62" s="41"/>
    </row>
    <row r="63" spans="1:12">
      <c r="A63" s="41"/>
      <c r="B63" s="41"/>
      <c r="C63" s="41"/>
      <c r="D63" s="41"/>
      <c r="E63" s="42"/>
      <c r="F63" s="41"/>
      <c r="G63" s="41"/>
      <c r="H63" s="42"/>
      <c r="I63" s="41"/>
      <c r="J63" s="41"/>
      <c r="K63" s="41"/>
      <c r="L63" s="41"/>
    </row>
    <row r="64" spans="1:12">
      <c r="A64" s="41"/>
      <c r="B64" s="41"/>
      <c r="C64" s="41"/>
      <c r="D64" s="41"/>
      <c r="E64" s="42"/>
      <c r="F64" s="41"/>
      <c r="G64" s="41"/>
      <c r="H64" s="42"/>
      <c r="I64" s="41"/>
      <c r="J64" s="41"/>
      <c r="K64" s="41"/>
      <c r="L64" s="41"/>
    </row>
  </sheetData>
  <dataValidations count="4">
    <dataValidation type="list" allowBlank="1" showInputMessage="1" showErrorMessage="1" sqref="D5:D64">
      <formula1>"NUM,QUAL"</formula1>
    </dataValidation>
    <dataValidation type="list" allowBlank="1" showInputMessage="1" showErrorMessage="1" sqref="G5:G64">
      <formula1>"Oui,Non"</formula1>
    </dataValidation>
    <dataValidation type="list" allowBlank="1" showInputMessage="1" showErrorMessage="1" sqref="K5:K64">
      <formula1>"Oui,Non"</formula1>
    </dataValidation>
    <dataValidation type="list" allowBlank="1" showInputMessage="1" showErrorMessage="1" sqref="J5:J64">
      <formula1>"ECONOMIC,GUARANTEE"</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5B9BD5"/>
  </sheetPr>
  <dimension ref="A1:H115"/>
  <sheetViews>
    <sheetView workbookViewId="0">
      <pane ySplit="4" topLeftCell="A5" activePane="bottomLeft" state="frozen"/>
      <selection pane="bottomLeft"/>
    </sheetView>
  </sheetViews>
  <sheetFormatPr defaultRowHeight="15"/>
  <cols>
    <col min="1" max="1" width="9.7109375" customWidth="1"/>
    <col min="2" max="2" width="11.7109375" customWidth="1"/>
    <col min="3" max="3" width="16.7109375" customWidth="1"/>
    <col min="4" max="5" width="10.7109375" customWidth="1"/>
    <col min="6" max="6" width="40.7109375" customWidth="1"/>
    <col min="7" max="8" width="8.7109375" customWidth="1"/>
  </cols>
  <sheetData>
    <row r="1" spans="1:8">
      <c r="A1" s="12" t="s">
        <v>239</v>
      </c>
    </row>
    <row r="2" spans="1:8">
      <c r="A2" s="2" t="s">
        <v>240</v>
      </c>
    </row>
    <row r="4" spans="1:8">
      <c r="A4" s="19" t="s">
        <v>241</v>
      </c>
      <c r="B4" s="19" t="s">
        <v>110</v>
      </c>
      <c r="C4" s="19" t="s">
        <v>242</v>
      </c>
      <c r="D4" s="19" t="s">
        <v>243</v>
      </c>
      <c r="E4" s="19" t="s">
        <v>244</v>
      </c>
      <c r="F4" s="19" t="s">
        <v>30</v>
      </c>
      <c r="G4" s="19" t="s">
        <v>245</v>
      </c>
      <c r="H4" s="19" t="s">
        <v>246</v>
      </c>
    </row>
    <row r="5" spans="1:8">
      <c r="A5" s="41" t="s">
        <v>118</v>
      </c>
      <c r="B5" s="41" t="s">
        <v>247</v>
      </c>
      <c r="C5" s="41"/>
      <c r="D5" s="42"/>
      <c r="E5" s="42">
        <v>1</v>
      </c>
      <c r="F5" s="41" t="s">
        <v>248</v>
      </c>
      <c r="G5" s="41">
        <v>0</v>
      </c>
      <c r="H5" s="42">
        <v>1</v>
      </c>
    </row>
    <row r="6" spans="1:8">
      <c r="A6" s="41" t="s">
        <v>118</v>
      </c>
      <c r="B6" s="41" t="s">
        <v>247</v>
      </c>
      <c r="C6" s="41"/>
      <c r="D6" s="42">
        <v>1</v>
      </c>
      <c r="E6" s="42">
        <v>3</v>
      </c>
      <c r="F6" s="41" t="s">
        <v>249</v>
      </c>
      <c r="G6" s="41">
        <v>1</v>
      </c>
      <c r="H6" s="42">
        <v>6</v>
      </c>
    </row>
    <row r="7" spans="1:8">
      <c r="A7" s="41" t="s">
        <v>118</v>
      </c>
      <c r="B7" s="41" t="s">
        <v>247</v>
      </c>
      <c r="C7" s="41"/>
      <c r="D7" s="42">
        <v>3</v>
      </c>
      <c r="E7" s="42"/>
      <c r="F7" s="41" t="s">
        <v>250</v>
      </c>
      <c r="G7" s="41">
        <v>2</v>
      </c>
      <c r="H7" s="42">
        <v>10</v>
      </c>
    </row>
    <row r="8" spans="1:8">
      <c r="A8" s="41" t="s">
        <v>124</v>
      </c>
      <c r="B8" s="41" t="s">
        <v>247</v>
      </c>
      <c r="C8" s="41"/>
      <c r="D8" s="42"/>
      <c r="E8" s="42">
        <v>100</v>
      </c>
      <c r="F8" s="41" t="s">
        <v>251</v>
      </c>
      <c r="G8" s="41">
        <v>0</v>
      </c>
      <c r="H8" s="42">
        <v>10</v>
      </c>
    </row>
    <row r="9" spans="1:8">
      <c r="A9" s="41" t="s">
        <v>124</v>
      </c>
      <c r="B9" s="41" t="s">
        <v>247</v>
      </c>
      <c r="C9" s="41"/>
      <c r="D9" s="42">
        <v>100</v>
      </c>
      <c r="E9" s="42">
        <v>150</v>
      </c>
      <c r="F9" s="41" t="s">
        <v>252</v>
      </c>
      <c r="G9" s="41">
        <v>1</v>
      </c>
      <c r="H9" s="42">
        <v>6</v>
      </c>
    </row>
    <row r="10" spans="1:8">
      <c r="A10" s="41" t="s">
        <v>124</v>
      </c>
      <c r="B10" s="41" t="s">
        <v>247</v>
      </c>
      <c r="C10" s="41"/>
      <c r="D10" s="42">
        <v>150</v>
      </c>
      <c r="E10" s="42"/>
      <c r="F10" s="41" t="s">
        <v>253</v>
      </c>
      <c r="G10" s="41">
        <v>2</v>
      </c>
      <c r="H10" s="42">
        <v>1</v>
      </c>
    </row>
    <row r="11" spans="1:8">
      <c r="A11" s="41" t="s">
        <v>127</v>
      </c>
      <c r="B11" s="41" t="s">
        <v>254</v>
      </c>
      <c r="C11" s="41" t="s">
        <v>255</v>
      </c>
      <c r="D11" s="42"/>
      <c r="E11" s="42"/>
      <c r="F11" s="41" t="s">
        <v>256</v>
      </c>
      <c r="G11" s="41">
        <v>0</v>
      </c>
      <c r="H11" s="42">
        <v>1</v>
      </c>
    </row>
    <row r="12" spans="1:8">
      <c r="A12" s="41" t="s">
        <v>127</v>
      </c>
      <c r="B12" s="41" t="s">
        <v>254</v>
      </c>
      <c r="C12" s="41" t="s">
        <v>257</v>
      </c>
      <c r="D12" s="42"/>
      <c r="E12" s="42"/>
      <c r="F12" s="41" t="s">
        <v>258</v>
      </c>
      <c r="G12" s="41">
        <v>1</v>
      </c>
      <c r="H12" s="42">
        <v>6</v>
      </c>
    </row>
    <row r="13" spans="1:8">
      <c r="A13" s="41" t="s">
        <v>127</v>
      </c>
      <c r="B13" s="41" t="s">
        <v>254</v>
      </c>
      <c r="C13" s="41" t="s">
        <v>259</v>
      </c>
      <c r="D13" s="42"/>
      <c r="E13" s="42"/>
      <c r="F13" s="41" t="s">
        <v>260</v>
      </c>
      <c r="G13" s="41">
        <v>2</v>
      </c>
      <c r="H13" s="42">
        <v>10</v>
      </c>
    </row>
    <row r="14" spans="1:8">
      <c r="A14" s="41" t="s">
        <v>132</v>
      </c>
      <c r="B14" s="41" t="s">
        <v>247</v>
      </c>
      <c r="C14" s="41"/>
      <c r="D14" s="42"/>
      <c r="E14" s="42">
        <v>40</v>
      </c>
      <c r="F14" s="41" t="s">
        <v>261</v>
      </c>
      <c r="G14" s="41">
        <v>0</v>
      </c>
      <c r="H14" s="42">
        <v>10</v>
      </c>
    </row>
    <row r="15" spans="1:8">
      <c r="A15" s="41" t="s">
        <v>132</v>
      </c>
      <c r="B15" s="41" t="s">
        <v>247</v>
      </c>
      <c r="C15" s="41"/>
      <c r="D15" s="42">
        <v>40</v>
      </c>
      <c r="E15" s="42">
        <v>60</v>
      </c>
      <c r="F15" s="41" t="s">
        <v>262</v>
      </c>
      <c r="G15" s="41">
        <v>1</v>
      </c>
      <c r="H15" s="42">
        <v>6</v>
      </c>
    </row>
    <row r="16" spans="1:8">
      <c r="A16" s="41" t="s">
        <v>132</v>
      </c>
      <c r="B16" s="41" t="s">
        <v>247</v>
      </c>
      <c r="C16" s="41"/>
      <c r="D16" s="42">
        <v>60</v>
      </c>
      <c r="E16" s="42"/>
      <c r="F16" s="41" t="s">
        <v>263</v>
      </c>
      <c r="G16" s="41">
        <v>2</v>
      </c>
      <c r="H16" s="42">
        <v>1</v>
      </c>
    </row>
    <row r="17" spans="1:8">
      <c r="A17" s="41" t="s">
        <v>135</v>
      </c>
      <c r="B17" s="41" t="s">
        <v>254</v>
      </c>
      <c r="C17" s="41" t="s">
        <v>264</v>
      </c>
      <c r="D17" s="42"/>
      <c r="E17" s="42"/>
      <c r="F17" s="41" t="s">
        <v>265</v>
      </c>
      <c r="G17" s="41">
        <v>0</v>
      </c>
      <c r="H17" s="42">
        <v>2</v>
      </c>
    </row>
    <row r="18" spans="1:8">
      <c r="A18" s="41" t="s">
        <v>135</v>
      </c>
      <c r="B18" s="41" t="s">
        <v>254</v>
      </c>
      <c r="C18" s="41" t="s">
        <v>266</v>
      </c>
      <c r="D18" s="42"/>
      <c r="E18" s="42"/>
      <c r="F18" s="41" t="s">
        <v>267</v>
      </c>
      <c r="G18" s="41">
        <v>1</v>
      </c>
      <c r="H18" s="42">
        <v>6</v>
      </c>
    </row>
    <row r="19" spans="1:8">
      <c r="A19" s="41" t="s">
        <v>135</v>
      </c>
      <c r="B19" s="41" t="s">
        <v>254</v>
      </c>
      <c r="C19" s="41" t="s">
        <v>268</v>
      </c>
      <c r="D19" s="42"/>
      <c r="E19" s="42"/>
      <c r="F19" s="41" t="s">
        <v>269</v>
      </c>
      <c r="G19" s="41">
        <v>2</v>
      </c>
      <c r="H19" s="42">
        <v>10</v>
      </c>
    </row>
    <row r="20" spans="1:8">
      <c r="A20" s="41" t="s">
        <v>138</v>
      </c>
      <c r="B20" s="41" t="s">
        <v>247</v>
      </c>
      <c r="C20" s="41"/>
      <c r="D20" s="42"/>
      <c r="E20" s="42">
        <v>80</v>
      </c>
      <c r="F20" s="41" t="s">
        <v>270</v>
      </c>
      <c r="G20" s="41">
        <v>0</v>
      </c>
      <c r="H20" s="42">
        <v>1</v>
      </c>
    </row>
    <row r="21" spans="1:8">
      <c r="A21" s="41" t="s">
        <v>138</v>
      </c>
      <c r="B21" s="41" t="s">
        <v>247</v>
      </c>
      <c r="C21" s="41"/>
      <c r="D21" s="42">
        <v>80</v>
      </c>
      <c r="E21" s="42">
        <v>100</v>
      </c>
      <c r="F21" s="41" t="s">
        <v>271</v>
      </c>
      <c r="G21" s="41">
        <v>1</v>
      </c>
      <c r="H21" s="42">
        <v>6</v>
      </c>
    </row>
    <row r="22" spans="1:8">
      <c r="A22" s="41" t="s">
        <v>138</v>
      </c>
      <c r="B22" s="41" t="s">
        <v>247</v>
      </c>
      <c r="C22" s="41"/>
      <c r="D22" s="42">
        <v>100</v>
      </c>
      <c r="E22" s="42"/>
      <c r="F22" s="41" t="s">
        <v>272</v>
      </c>
      <c r="G22" s="41">
        <v>2</v>
      </c>
      <c r="H22" s="42">
        <v>10</v>
      </c>
    </row>
    <row r="23" spans="1:8">
      <c r="A23" s="41" t="s">
        <v>142</v>
      </c>
      <c r="B23" s="41" t="s">
        <v>254</v>
      </c>
      <c r="C23" s="41" t="s">
        <v>273</v>
      </c>
      <c r="D23" s="42"/>
      <c r="E23" s="42"/>
      <c r="F23" s="41" t="s">
        <v>274</v>
      </c>
      <c r="G23" s="41">
        <v>0</v>
      </c>
      <c r="H23" s="42">
        <v>1</v>
      </c>
    </row>
    <row r="24" spans="1:8">
      <c r="A24" s="41" t="s">
        <v>142</v>
      </c>
      <c r="B24" s="41" t="s">
        <v>254</v>
      </c>
      <c r="C24" s="41" t="s">
        <v>275</v>
      </c>
      <c r="D24" s="42"/>
      <c r="E24" s="42"/>
      <c r="F24" s="41" t="s">
        <v>276</v>
      </c>
      <c r="G24" s="41">
        <v>1</v>
      </c>
      <c r="H24" s="42">
        <v>6</v>
      </c>
    </row>
    <row r="25" spans="1:8">
      <c r="A25" s="41" t="s">
        <v>142</v>
      </c>
      <c r="B25" s="41" t="s">
        <v>254</v>
      </c>
      <c r="C25" s="41" t="s">
        <v>277</v>
      </c>
      <c r="D25" s="42"/>
      <c r="E25" s="42"/>
      <c r="F25" s="41" t="s">
        <v>278</v>
      </c>
      <c r="G25" s="41">
        <v>2</v>
      </c>
      <c r="H25" s="42">
        <v>10</v>
      </c>
    </row>
    <row r="26" spans="1:8">
      <c r="A26" s="41" t="s">
        <v>146</v>
      </c>
      <c r="B26" s="41" t="s">
        <v>254</v>
      </c>
      <c r="C26" s="41" t="s">
        <v>279</v>
      </c>
      <c r="D26" s="42"/>
      <c r="E26" s="42"/>
      <c r="F26" s="41" t="s">
        <v>280</v>
      </c>
      <c r="G26" s="41">
        <v>0</v>
      </c>
      <c r="H26" s="42">
        <v>2</v>
      </c>
    </row>
    <row r="27" spans="1:8">
      <c r="A27" s="41" t="s">
        <v>146</v>
      </c>
      <c r="B27" s="41" t="s">
        <v>254</v>
      </c>
      <c r="C27" s="41" t="s">
        <v>281</v>
      </c>
      <c r="D27" s="42"/>
      <c r="E27" s="42"/>
      <c r="F27" s="41" t="s">
        <v>282</v>
      </c>
      <c r="G27" s="41">
        <v>1</v>
      </c>
      <c r="H27" s="42">
        <v>6</v>
      </c>
    </row>
    <row r="28" spans="1:8">
      <c r="A28" s="41" t="s">
        <v>146</v>
      </c>
      <c r="B28" s="41" t="s">
        <v>254</v>
      </c>
      <c r="C28" s="41" t="s">
        <v>283</v>
      </c>
      <c r="D28" s="42"/>
      <c r="E28" s="42"/>
      <c r="F28" s="41" t="s">
        <v>284</v>
      </c>
      <c r="G28" s="41">
        <v>2</v>
      </c>
      <c r="H28" s="42">
        <v>10</v>
      </c>
    </row>
    <row r="29" spans="1:8">
      <c r="A29" s="41" t="s">
        <v>149</v>
      </c>
      <c r="B29" s="41" t="s">
        <v>254</v>
      </c>
      <c r="C29" s="41" t="s">
        <v>285</v>
      </c>
      <c r="D29" s="42"/>
      <c r="E29" s="42"/>
      <c r="F29" s="41" t="s">
        <v>286</v>
      </c>
      <c r="G29" s="41">
        <v>0</v>
      </c>
      <c r="H29" s="42">
        <v>2</v>
      </c>
    </row>
    <row r="30" spans="1:8">
      <c r="A30" s="41" t="s">
        <v>149</v>
      </c>
      <c r="B30" s="41" t="s">
        <v>254</v>
      </c>
      <c r="C30" s="41" t="s">
        <v>287</v>
      </c>
      <c r="D30" s="42"/>
      <c r="E30" s="42"/>
      <c r="F30" s="41" t="s">
        <v>288</v>
      </c>
      <c r="G30" s="41">
        <v>1</v>
      </c>
      <c r="H30" s="42">
        <v>6</v>
      </c>
    </row>
    <row r="31" spans="1:8">
      <c r="A31" s="41" t="s">
        <v>149</v>
      </c>
      <c r="B31" s="41" t="s">
        <v>254</v>
      </c>
      <c r="C31" s="41" t="s">
        <v>289</v>
      </c>
      <c r="D31" s="42"/>
      <c r="E31" s="42"/>
      <c r="F31" s="41" t="s">
        <v>290</v>
      </c>
      <c r="G31" s="41">
        <v>2</v>
      </c>
      <c r="H31" s="42">
        <v>10</v>
      </c>
    </row>
    <row r="32" spans="1:8">
      <c r="A32" s="41" t="s">
        <v>152</v>
      </c>
      <c r="B32" s="41" t="s">
        <v>247</v>
      </c>
      <c r="C32" s="41"/>
      <c r="D32" s="42"/>
      <c r="E32" s="42">
        <v>80</v>
      </c>
      <c r="F32" s="41" t="s">
        <v>270</v>
      </c>
      <c r="G32" s="41">
        <v>0</v>
      </c>
      <c r="H32" s="42">
        <v>1</v>
      </c>
    </row>
    <row r="33" spans="1:8">
      <c r="A33" s="41" t="s">
        <v>152</v>
      </c>
      <c r="B33" s="41" t="s">
        <v>247</v>
      </c>
      <c r="C33" s="41"/>
      <c r="D33" s="42">
        <v>80</v>
      </c>
      <c r="E33" s="42">
        <v>100</v>
      </c>
      <c r="F33" s="41" t="s">
        <v>271</v>
      </c>
      <c r="G33" s="41">
        <v>1</v>
      </c>
      <c r="H33" s="42">
        <v>6</v>
      </c>
    </row>
    <row r="34" spans="1:8">
      <c r="A34" s="41" t="s">
        <v>152</v>
      </c>
      <c r="B34" s="41" t="s">
        <v>247</v>
      </c>
      <c r="C34" s="41"/>
      <c r="D34" s="42">
        <v>100</v>
      </c>
      <c r="E34" s="42"/>
      <c r="F34" s="41" t="s">
        <v>272</v>
      </c>
      <c r="G34" s="41">
        <v>2</v>
      </c>
      <c r="H34" s="42">
        <v>10</v>
      </c>
    </row>
    <row r="35" spans="1:8">
      <c r="A35" s="41" t="s">
        <v>155</v>
      </c>
      <c r="B35" s="41" t="s">
        <v>254</v>
      </c>
      <c r="C35" s="41" t="s">
        <v>291</v>
      </c>
      <c r="D35" s="42"/>
      <c r="E35" s="42"/>
      <c r="F35" s="41" t="s">
        <v>292</v>
      </c>
      <c r="G35" s="41">
        <v>0</v>
      </c>
      <c r="H35" s="42">
        <v>2</v>
      </c>
    </row>
    <row r="36" spans="1:8">
      <c r="A36" s="41" t="s">
        <v>155</v>
      </c>
      <c r="B36" s="41" t="s">
        <v>254</v>
      </c>
      <c r="C36" s="41" t="s">
        <v>281</v>
      </c>
      <c r="D36" s="42"/>
      <c r="E36" s="42"/>
      <c r="F36" s="41" t="s">
        <v>293</v>
      </c>
      <c r="G36" s="41">
        <v>1</v>
      </c>
      <c r="H36" s="42">
        <v>6</v>
      </c>
    </row>
    <row r="37" spans="1:8">
      <c r="A37" s="41" t="s">
        <v>155</v>
      </c>
      <c r="B37" s="41" t="s">
        <v>254</v>
      </c>
      <c r="C37" s="41" t="s">
        <v>294</v>
      </c>
      <c r="D37" s="42"/>
      <c r="E37" s="42"/>
      <c r="F37" s="41" t="s">
        <v>295</v>
      </c>
      <c r="G37" s="41">
        <v>2</v>
      </c>
      <c r="H37" s="42">
        <v>10</v>
      </c>
    </row>
    <row r="38" spans="1:8">
      <c r="A38" s="41" t="s">
        <v>158</v>
      </c>
      <c r="B38" s="41" t="s">
        <v>254</v>
      </c>
      <c r="C38" s="41" t="s">
        <v>285</v>
      </c>
      <c r="D38" s="42"/>
      <c r="E38" s="42"/>
      <c r="F38" s="41" t="s">
        <v>286</v>
      </c>
      <c r="G38" s="41">
        <v>0</v>
      </c>
      <c r="H38" s="42">
        <v>2</v>
      </c>
    </row>
    <row r="39" spans="1:8">
      <c r="A39" s="41" t="s">
        <v>158</v>
      </c>
      <c r="B39" s="41" t="s">
        <v>254</v>
      </c>
      <c r="C39" s="41" t="s">
        <v>287</v>
      </c>
      <c r="D39" s="42"/>
      <c r="E39" s="42"/>
      <c r="F39" s="41" t="s">
        <v>288</v>
      </c>
      <c r="G39" s="41">
        <v>1</v>
      </c>
      <c r="H39" s="42">
        <v>6</v>
      </c>
    </row>
    <row r="40" spans="1:8">
      <c r="A40" s="41" t="s">
        <v>158</v>
      </c>
      <c r="B40" s="41" t="s">
        <v>254</v>
      </c>
      <c r="C40" s="41" t="s">
        <v>294</v>
      </c>
      <c r="D40" s="42"/>
      <c r="E40" s="42"/>
      <c r="F40" s="41" t="s">
        <v>295</v>
      </c>
      <c r="G40" s="41">
        <v>2</v>
      </c>
      <c r="H40" s="42">
        <v>10</v>
      </c>
    </row>
    <row r="41" spans="1:8">
      <c r="A41" s="41" t="s">
        <v>161</v>
      </c>
      <c r="B41" s="41" t="s">
        <v>247</v>
      </c>
      <c r="C41" s="41"/>
      <c r="D41" s="42"/>
      <c r="E41" s="42">
        <v>25</v>
      </c>
      <c r="F41" s="41" t="s">
        <v>296</v>
      </c>
      <c r="G41" s="41">
        <v>0</v>
      </c>
      <c r="H41" s="42">
        <v>10</v>
      </c>
    </row>
    <row r="42" spans="1:8">
      <c r="A42" s="41" t="s">
        <v>161</v>
      </c>
      <c r="B42" s="41" t="s">
        <v>247</v>
      </c>
      <c r="C42" s="41"/>
      <c r="D42" s="42">
        <v>25</v>
      </c>
      <c r="E42" s="42">
        <v>35</v>
      </c>
      <c r="F42" s="41" t="s">
        <v>297</v>
      </c>
      <c r="G42" s="41">
        <v>1</v>
      </c>
      <c r="H42" s="42">
        <v>6</v>
      </c>
    </row>
    <row r="43" spans="1:8">
      <c r="A43" s="41" t="s">
        <v>161</v>
      </c>
      <c r="B43" s="41" t="s">
        <v>247</v>
      </c>
      <c r="C43" s="41"/>
      <c r="D43" s="42">
        <v>35</v>
      </c>
      <c r="E43" s="42"/>
      <c r="F43" s="41" t="s">
        <v>298</v>
      </c>
      <c r="G43" s="41">
        <v>2</v>
      </c>
      <c r="H43" s="42">
        <v>1</v>
      </c>
    </row>
    <row r="44" spans="1:8">
      <c r="A44" s="41" t="s">
        <v>164</v>
      </c>
      <c r="B44" s="41" t="s">
        <v>247</v>
      </c>
      <c r="C44" s="41"/>
      <c r="D44" s="42"/>
      <c r="E44" s="42">
        <v>50</v>
      </c>
      <c r="F44" s="41" t="s">
        <v>299</v>
      </c>
      <c r="G44" s="41">
        <v>0</v>
      </c>
      <c r="H44" s="42">
        <v>1</v>
      </c>
    </row>
    <row r="45" spans="1:8">
      <c r="A45" s="41" t="s">
        <v>164</v>
      </c>
      <c r="B45" s="41" t="s">
        <v>247</v>
      </c>
      <c r="C45" s="41"/>
      <c r="D45" s="42">
        <v>50</v>
      </c>
      <c r="E45" s="42">
        <v>100</v>
      </c>
      <c r="F45" s="41" t="s">
        <v>300</v>
      </c>
      <c r="G45" s="41">
        <v>1</v>
      </c>
      <c r="H45" s="42">
        <v>6</v>
      </c>
    </row>
    <row r="46" spans="1:8">
      <c r="A46" s="41" t="s">
        <v>164</v>
      </c>
      <c r="B46" s="41" t="s">
        <v>247</v>
      </c>
      <c r="C46" s="41"/>
      <c r="D46" s="42">
        <v>100</v>
      </c>
      <c r="E46" s="42"/>
      <c r="F46" s="41" t="s">
        <v>301</v>
      </c>
      <c r="G46" s="41">
        <v>2</v>
      </c>
      <c r="H46" s="42">
        <v>10</v>
      </c>
    </row>
    <row r="47" spans="1:8">
      <c r="A47" s="41" t="s">
        <v>168</v>
      </c>
      <c r="B47" s="41" t="s">
        <v>254</v>
      </c>
      <c r="C47" s="41" t="s">
        <v>302</v>
      </c>
      <c r="D47" s="42"/>
      <c r="E47" s="42"/>
      <c r="F47" s="41" t="s">
        <v>303</v>
      </c>
      <c r="G47" s="41">
        <v>0</v>
      </c>
      <c r="H47" s="42">
        <v>2</v>
      </c>
    </row>
    <row r="48" spans="1:8">
      <c r="A48" s="41" t="s">
        <v>168</v>
      </c>
      <c r="B48" s="41" t="s">
        <v>254</v>
      </c>
      <c r="C48" s="41" t="s">
        <v>304</v>
      </c>
      <c r="D48" s="42"/>
      <c r="E48" s="42"/>
      <c r="F48" s="41" t="s">
        <v>305</v>
      </c>
      <c r="G48" s="41">
        <v>1</v>
      </c>
      <c r="H48" s="42">
        <v>6</v>
      </c>
    </row>
    <row r="49" spans="1:8">
      <c r="A49" s="41" t="s">
        <v>168</v>
      </c>
      <c r="B49" s="41" t="s">
        <v>254</v>
      </c>
      <c r="C49" s="41" t="s">
        <v>306</v>
      </c>
      <c r="D49" s="42"/>
      <c r="E49" s="42"/>
      <c r="F49" s="41" t="s">
        <v>307</v>
      </c>
      <c r="G49" s="41">
        <v>2</v>
      </c>
      <c r="H49" s="42">
        <v>10</v>
      </c>
    </row>
    <row r="50" spans="1:8">
      <c r="A50" s="41" t="s">
        <v>171</v>
      </c>
      <c r="B50" s="41" t="s">
        <v>254</v>
      </c>
      <c r="C50" s="41" t="s">
        <v>308</v>
      </c>
      <c r="D50" s="42"/>
      <c r="E50" s="42"/>
      <c r="F50" s="41" t="s">
        <v>309</v>
      </c>
      <c r="G50" s="41">
        <v>0</v>
      </c>
      <c r="H50" s="42">
        <v>2</v>
      </c>
    </row>
    <row r="51" spans="1:8">
      <c r="A51" s="41" t="s">
        <v>171</v>
      </c>
      <c r="B51" s="41" t="s">
        <v>254</v>
      </c>
      <c r="C51" s="41" t="s">
        <v>310</v>
      </c>
      <c r="D51" s="42"/>
      <c r="E51" s="42"/>
      <c r="F51" s="41" t="s">
        <v>311</v>
      </c>
      <c r="G51" s="41">
        <v>1</v>
      </c>
      <c r="H51" s="42">
        <v>6</v>
      </c>
    </row>
    <row r="52" spans="1:8">
      <c r="A52" s="41" t="s">
        <v>171</v>
      </c>
      <c r="B52" s="41" t="s">
        <v>254</v>
      </c>
      <c r="C52" s="41" t="s">
        <v>312</v>
      </c>
      <c r="D52" s="42"/>
      <c r="E52" s="42"/>
      <c r="F52" s="41" t="s">
        <v>313</v>
      </c>
      <c r="G52" s="41">
        <v>2</v>
      </c>
      <c r="H52" s="42">
        <v>10</v>
      </c>
    </row>
    <row r="53" spans="1:8">
      <c r="A53" s="41" t="s">
        <v>174</v>
      </c>
      <c r="B53" s="41" t="s">
        <v>247</v>
      </c>
      <c r="C53" s="41"/>
      <c r="D53" s="42"/>
      <c r="E53" s="42">
        <v>0.0001</v>
      </c>
      <c r="F53" s="41" t="s">
        <v>314</v>
      </c>
      <c r="G53" s="41">
        <v>0</v>
      </c>
      <c r="H53" s="42">
        <v>10</v>
      </c>
    </row>
    <row r="54" spans="1:8">
      <c r="A54" s="41" t="s">
        <v>174</v>
      </c>
      <c r="B54" s="41" t="s">
        <v>247</v>
      </c>
      <c r="C54" s="41"/>
      <c r="D54" s="42">
        <v>0.0001</v>
      </c>
      <c r="E54" s="42">
        <v>3</v>
      </c>
      <c r="F54" s="41" t="s">
        <v>315</v>
      </c>
      <c r="G54" s="41">
        <v>1</v>
      </c>
      <c r="H54" s="42">
        <v>6</v>
      </c>
    </row>
    <row r="55" spans="1:8">
      <c r="A55" s="41" t="s">
        <v>174</v>
      </c>
      <c r="B55" s="41" t="s">
        <v>247</v>
      </c>
      <c r="C55" s="41"/>
      <c r="D55" s="42">
        <v>3</v>
      </c>
      <c r="E55" s="42"/>
      <c r="F55" s="41" t="s">
        <v>316</v>
      </c>
      <c r="G55" s="41">
        <v>2</v>
      </c>
      <c r="H55" s="42">
        <v>1</v>
      </c>
    </row>
    <row r="56" spans="1:8">
      <c r="A56" s="41" t="s">
        <v>177</v>
      </c>
      <c r="B56" s="41" t="s">
        <v>254</v>
      </c>
      <c r="C56" s="41" t="s">
        <v>317</v>
      </c>
      <c r="D56" s="42"/>
      <c r="E56" s="42"/>
      <c r="F56" s="41" t="s">
        <v>318</v>
      </c>
      <c r="G56" s="41">
        <v>0</v>
      </c>
      <c r="H56" s="42">
        <v>1</v>
      </c>
    </row>
    <row r="57" spans="1:8">
      <c r="A57" s="41" t="s">
        <v>177</v>
      </c>
      <c r="B57" s="41" t="s">
        <v>254</v>
      </c>
      <c r="C57" s="41" t="s">
        <v>319</v>
      </c>
      <c r="D57" s="42"/>
      <c r="E57" s="42"/>
      <c r="F57" s="41" t="s">
        <v>320</v>
      </c>
      <c r="G57" s="41">
        <v>1</v>
      </c>
      <c r="H57" s="42">
        <v>6</v>
      </c>
    </row>
    <row r="58" spans="1:8">
      <c r="A58" s="41" t="s">
        <v>177</v>
      </c>
      <c r="B58" s="41" t="s">
        <v>254</v>
      </c>
      <c r="C58" s="41" t="s">
        <v>321</v>
      </c>
      <c r="D58" s="42"/>
      <c r="E58" s="42"/>
      <c r="F58" s="41" t="s">
        <v>322</v>
      </c>
      <c r="G58" s="41">
        <v>2</v>
      </c>
      <c r="H58" s="42">
        <v>10</v>
      </c>
    </row>
    <row r="59" spans="1:8">
      <c r="A59" s="41" t="s">
        <v>177</v>
      </c>
      <c r="B59" s="41" t="s">
        <v>254</v>
      </c>
      <c r="C59" s="41" t="s">
        <v>323</v>
      </c>
      <c r="D59" s="42"/>
      <c r="E59" s="42"/>
      <c r="F59" s="41" t="s">
        <v>324</v>
      </c>
      <c r="G59" s="41">
        <v>3</v>
      </c>
      <c r="H59" s="42">
        <v>10</v>
      </c>
    </row>
    <row r="60" spans="1:8">
      <c r="A60" s="41" t="s">
        <v>180</v>
      </c>
      <c r="B60" s="41" t="s">
        <v>247</v>
      </c>
      <c r="C60" s="41"/>
      <c r="D60" s="42"/>
      <c r="E60" s="42">
        <v>25</v>
      </c>
      <c r="F60" s="41" t="s">
        <v>325</v>
      </c>
      <c r="G60" s="41">
        <v>0</v>
      </c>
      <c r="H60" s="42">
        <v>1</v>
      </c>
    </row>
    <row r="61" spans="1:8">
      <c r="A61" s="41" t="s">
        <v>180</v>
      </c>
      <c r="B61" s="41" t="s">
        <v>247</v>
      </c>
      <c r="C61" s="41"/>
      <c r="D61" s="42">
        <v>25</v>
      </c>
      <c r="E61" s="42">
        <v>40</v>
      </c>
      <c r="F61" s="41" t="s">
        <v>326</v>
      </c>
      <c r="G61" s="41">
        <v>1</v>
      </c>
      <c r="H61" s="42">
        <v>6</v>
      </c>
    </row>
    <row r="62" spans="1:8">
      <c r="A62" s="41" t="s">
        <v>180</v>
      </c>
      <c r="B62" s="41" t="s">
        <v>247</v>
      </c>
      <c r="C62" s="41"/>
      <c r="D62" s="42">
        <v>40</v>
      </c>
      <c r="E62" s="42"/>
      <c r="F62" s="41" t="s">
        <v>327</v>
      </c>
      <c r="G62" s="41">
        <v>2</v>
      </c>
      <c r="H62" s="42">
        <v>10</v>
      </c>
    </row>
    <row r="63" spans="1:8">
      <c r="A63" s="41" t="s">
        <v>183</v>
      </c>
      <c r="B63" s="41" t="s">
        <v>247</v>
      </c>
      <c r="C63" s="41"/>
      <c r="D63" s="42"/>
      <c r="E63" s="42">
        <v>80</v>
      </c>
      <c r="F63" s="41" t="s">
        <v>270</v>
      </c>
      <c r="G63" s="41">
        <v>0</v>
      </c>
      <c r="H63" s="42">
        <v>1</v>
      </c>
    </row>
    <row r="64" spans="1:8">
      <c r="A64" s="41" t="s">
        <v>183</v>
      </c>
      <c r="B64" s="41" t="s">
        <v>247</v>
      </c>
      <c r="C64" s="41"/>
      <c r="D64" s="42">
        <v>80</v>
      </c>
      <c r="E64" s="42">
        <v>100</v>
      </c>
      <c r="F64" s="41" t="s">
        <v>271</v>
      </c>
      <c r="G64" s="41">
        <v>1</v>
      </c>
      <c r="H64" s="42">
        <v>6</v>
      </c>
    </row>
    <row r="65" spans="1:8">
      <c r="A65" s="41" t="s">
        <v>183</v>
      </c>
      <c r="B65" s="41" t="s">
        <v>247</v>
      </c>
      <c r="C65" s="41"/>
      <c r="D65" s="42">
        <v>100</v>
      </c>
      <c r="E65" s="42"/>
      <c r="F65" s="41" t="s">
        <v>272</v>
      </c>
      <c r="G65" s="41">
        <v>2</v>
      </c>
      <c r="H65" s="42">
        <v>10</v>
      </c>
    </row>
    <row r="66" spans="1:8">
      <c r="A66" s="41" t="s">
        <v>186</v>
      </c>
      <c r="B66" s="41" t="s">
        <v>247</v>
      </c>
      <c r="C66" s="41"/>
      <c r="D66" s="42"/>
      <c r="E66" s="42">
        <v>120</v>
      </c>
      <c r="F66" s="41" t="s">
        <v>328</v>
      </c>
      <c r="G66" s="41">
        <v>0</v>
      </c>
      <c r="H66" s="42">
        <v>10</v>
      </c>
    </row>
    <row r="67" spans="1:8">
      <c r="A67" s="41" t="s">
        <v>186</v>
      </c>
      <c r="B67" s="41" t="s">
        <v>247</v>
      </c>
      <c r="C67" s="41"/>
      <c r="D67" s="42">
        <v>120</v>
      </c>
      <c r="E67" s="42">
        <v>240</v>
      </c>
      <c r="F67" s="41" t="s">
        <v>329</v>
      </c>
      <c r="G67" s="41">
        <v>1</v>
      </c>
      <c r="H67" s="42">
        <v>6</v>
      </c>
    </row>
    <row r="68" spans="1:8">
      <c r="A68" s="41" t="s">
        <v>186</v>
      </c>
      <c r="B68" s="41" t="s">
        <v>247</v>
      </c>
      <c r="C68" s="41"/>
      <c r="D68" s="42">
        <v>240</v>
      </c>
      <c r="E68" s="42"/>
      <c r="F68" s="41" t="s">
        <v>330</v>
      </c>
      <c r="G68" s="41">
        <v>2</v>
      </c>
      <c r="H68" s="42">
        <v>1</v>
      </c>
    </row>
    <row r="69" spans="1:8">
      <c r="A69" s="41" t="s">
        <v>189</v>
      </c>
      <c r="B69" s="41" t="s">
        <v>247</v>
      </c>
      <c r="C69" s="41"/>
      <c r="D69" s="42"/>
      <c r="E69" s="42">
        <v>1</v>
      </c>
      <c r="F69" s="41" t="s">
        <v>248</v>
      </c>
      <c r="G69" s="41">
        <v>0</v>
      </c>
      <c r="H69" s="42">
        <v>1</v>
      </c>
    </row>
    <row r="70" spans="1:8">
      <c r="A70" s="41" t="s">
        <v>189</v>
      </c>
      <c r="B70" s="41" t="s">
        <v>247</v>
      </c>
      <c r="C70" s="41"/>
      <c r="D70" s="42">
        <v>1</v>
      </c>
      <c r="E70" s="42">
        <v>1.2</v>
      </c>
      <c r="F70" s="41" t="s">
        <v>331</v>
      </c>
      <c r="G70" s="41">
        <v>1</v>
      </c>
      <c r="H70" s="42">
        <v>6</v>
      </c>
    </row>
    <row r="71" spans="1:8">
      <c r="A71" s="41" t="s">
        <v>189</v>
      </c>
      <c r="B71" s="41" t="s">
        <v>247</v>
      </c>
      <c r="C71" s="41"/>
      <c r="D71" s="42">
        <v>1.2</v>
      </c>
      <c r="E71" s="42"/>
      <c r="F71" s="41" t="s">
        <v>332</v>
      </c>
      <c r="G71" s="41">
        <v>2</v>
      </c>
      <c r="H71" s="42">
        <v>10</v>
      </c>
    </row>
    <row r="72" spans="1:8">
      <c r="A72" s="41" t="s">
        <v>192</v>
      </c>
      <c r="B72" s="41" t="s">
        <v>247</v>
      </c>
      <c r="C72" s="41"/>
      <c r="D72" s="42"/>
      <c r="E72" s="42">
        <v>0.0001</v>
      </c>
      <c r="F72" s="41" t="s">
        <v>333</v>
      </c>
      <c r="G72" s="41">
        <v>0</v>
      </c>
      <c r="H72" s="42">
        <v>10</v>
      </c>
    </row>
    <row r="73" spans="1:8">
      <c r="A73" s="41" t="s">
        <v>192</v>
      </c>
      <c r="B73" s="41" t="s">
        <v>247</v>
      </c>
      <c r="C73" s="41"/>
      <c r="D73" s="42">
        <v>0.0001</v>
      </c>
      <c r="E73" s="42">
        <v>10</v>
      </c>
      <c r="F73" s="41" t="s">
        <v>334</v>
      </c>
      <c r="G73" s="41">
        <v>1</v>
      </c>
      <c r="H73" s="42">
        <v>6</v>
      </c>
    </row>
    <row r="74" spans="1:8">
      <c r="A74" s="41" t="s">
        <v>192</v>
      </c>
      <c r="B74" s="41" t="s">
        <v>247</v>
      </c>
      <c r="C74" s="41"/>
      <c r="D74" s="42">
        <v>10</v>
      </c>
      <c r="E74" s="42"/>
      <c r="F74" s="41" t="s">
        <v>335</v>
      </c>
      <c r="G74" s="41">
        <v>2</v>
      </c>
      <c r="H74" s="42">
        <v>1</v>
      </c>
    </row>
    <row r="75" spans="1:8">
      <c r="A75" s="41" t="s">
        <v>195</v>
      </c>
      <c r="B75" s="41" t="s">
        <v>247</v>
      </c>
      <c r="C75" s="41"/>
      <c r="D75" s="42"/>
      <c r="E75" s="42">
        <v>18</v>
      </c>
      <c r="F75" s="41" t="s">
        <v>336</v>
      </c>
      <c r="G75" s="41">
        <v>0</v>
      </c>
      <c r="H75" s="42">
        <v>10</v>
      </c>
    </row>
    <row r="76" spans="1:8">
      <c r="A76" s="41" t="s">
        <v>195</v>
      </c>
      <c r="B76" s="41" t="s">
        <v>247</v>
      </c>
      <c r="C76" s="41"/>
      <c r="D76" s="42">
        <v>18</v>
      </c>
      <c r="E76" s="42">
        <v>30</v>
      </c>
      <c r="F76" s="41" t="s">
        <v>337</v>
      </c>
      <c r="G76" s="41">
        <v>1</v>
      </c>
      <c r="H76" s="42">
        <v>6</v>
      </c>
    </row>
    <row r="77" spans="1:8">
      <c r="A77" s="41" t="s">
        <v>195</v>
      </c>
      <c r="B77" s="41" t="s">
        <v>247</v>
      </c>
      <c r="C77" s="41"/>
      <c r="D77" s="42">
        <v>30</v>
      </c>
      <c r="E77" s="42"/>
      <c r="F77" s="41" t="s">
        <v>338</v>
      </c>
      <c r="G77" s="41">
        <v>2</v>
      </c>
      <c r="H77" s="42">
        <v>1</v>
      </c>
    </row>
    <row r="78" spans="1:8">
      <c r="A78" s="41" t="s">
        <v>198</v>
      </c>
      <c r="B78" s="41" t="s">
        <v>247</v>
      </c>
      <c r="C78" s="41"/>
      <c r="D78" s="42"/>
      <c r="E78" s="42">
        <v>10</v>
      </c>
      <c r="F78" s="41" t="s">
        <v>339</v>
      </c>
      <c r="G78" s="41">
        <v>0</v>
      </c>
      <c r="H78" s="42">
        <v>1</v>
      </c>
    </row>
    <row r="79" spans="1:8">
      <c r="A79" s="41" t="s">
        <v>198</v>
      </c>
      <c r="B79" s="41" t="s">
        <v>247</v>
      </c>
      <c r="C79" s="41"/>
      <c r="D79" s="42">
        <v>10</v>
      </c>
      <c r="E79" s="42">
        <v>15</v>
      </c>
      <c r="F79" s="41" t="s">
        <v>340</v>
      </c>
      <c r="G79" s="41">
        <v>1</v>
      </c>
      <c r="H79" s="42">
        <v>6</v>
      </c>
    </row>
    <row r="80" spans="1:8">
      <c r="A80" s="41" t="s">
        <v>198</v>
      </c>
      <c r="B80" s="41" t="s">
        <v>247</v>
      </c>
      <c r="C80" s="41"/>
      <c r="D80" s="42">
        <v>15</v>
      </c>
      <c r="E80" s="42"/>
      <c r="F80" s="41" t="s">
        <v>341</v>
      </c>
      <c r="G80" s="41">
        <v>2</v>
      </c>
      <c r="H80" s="42">
        <v>10</v>
      </c>
    </row>
    <row r="81" spans="1:8">
      <c r="A81" s="41" t="s">
        <v>201</v>
      </c>
      <c r="B81" s="41" t="s">
        <v>247</v>
      </c>
      <c r="C81" s="41"/>
      <c r="D81" s="42"/>
      <c r="E81" s="42">
        <v>25</v>
      </c>
      <c r="F81" s="41" t="s">
        <v>342</v>
      </c>
      <c r="G81" s="41">
        <v>0</v>
      </c>
      <c r="H81" s="42">
        <v>1</v>
      </c>
    </row>
    <row r="82" spans="1:8">
      <c r="A82" s="41" t="s">
        <v>201</v>
      </c>
      <c r="B82" s="41" t="s">
        <v>247</v>
      </c>
      <c r="C82" s="41"/>
      <c r="D82" s="42">
        <v>25</v>
      </c>
      <c r="E82" s="42">
        <v>40</v>
      </c>
      <c r="F82" s="41" t="s">
        <v>343</v>
      </c>
      <c r="G82" s="41">
        <v>1</v>
      </c>
      <c r="H82" s="42">
        <v>6</v>
      </c>
    </row>
    <row r="83" spans="1:8">
      <c r="A83" s="41" t="s">
        <v>201</v>
      </c>
      <c r="B83" s="41" t="s">
        <v>247</v>
      </c>
      <c r="C83" s="41"/>
      <c r="D83" s="42">
        <v>40</v>
      </c>
      <c r="E83" s="42"/>
      <c r="F83" s="41" t="s">
        <v>344</v>
      </c>
      <c r="G83" s="41">
        <v>2</v>
      </c>
      <c r="H83" s="42">
        <v>10</v>
      </c>
    </row>
    <row r="84" spans="1:8">
      <c r="A84" s="41" t="s">
        <v>204</v>
      </c>
      <c r="B84" s="41" t="s">
        <v>247</v>
      </c>
      <c r="C84" s="41"/>
      <c r="D84" s="42"/>
      <c r="E84" s="42">
        <v>20</v>
      </c>
      <c r="F84" s="41" t="s">
        <v>345</v>
      </c>
      <c r="G84" s="41">
        <v>0</v>
      </c>
      <c r="H84" s="42">
        <v>10</v>
      </c>
    </row>
    <row r="85" spans="1:8">
      <c r="A85" s="41" t="s">
        <v>204</v>
      </c>
      <c r="B85" s="41" t="s">
        <v>247</v>
      </c>
      <c r="C85" s="41"/>
      <c r="D85" s="42">
        <v>20</v>
      </c>
      <c r="E85" s="42">
        <v>40</v>
      </c>
      <c r="F85" s="41" t="s">
        <v>346</v>
      </c>
      <c r="G85" s="41">
        <v>1</v>
      </c>
      <c r="H85" s="42">
        <v>6</v>
      </c>
    </row>
    <row r="86" spans="1:8">
      <c r="A86" s="41" t="s">
        <v>204</v>
      </c>
      <c r="B86" s="41" t="s">
        <v>247</v>
      </c>
      <c r="C86" s="41"/>
      <c r="D86" s="42">
        <v>40</v>
      </c>
      <c r="E86" s="42"/>
      <c r="F86" s="41" t="s">
        <v>347</v>
      </c>
      <c r="G86" s="41">
        <v>2</v>
      </c>
      <c r="H86" s="42">
        <v>1</v>
      </c>
    </row>
    <row r="87" spans="1:8">
      <c r="A87" s="41" t="s">
        <v>207</v>
      </c>
      <c r="B87" s="41" t="s">
        <v>247</v>
      </c>
      <c r="C87" s="41"/>
      <c r="D87" s="42"/>
      <c r="E87" s="42">
        <v>10</v>
      </c>
      <c r="F87" s="41" t="s">
        <v>348</v>
      </c>
      <c r="G87" s="41">
        <v>0</v>
      </c>
      <c r="H87" s="42">
        <v>10</v>
      </c>
    </row>
    <row r="88" spans="1:8">
      <c r="A88" s="41" t="s">
        <v>207</v>
      </c>
      <c r="B88" s="41" t="s">
        <v>247</v>
      </c>
      <c r="C88" s="41"/>
      <c r="D88" s="42">
        <v>10</v>
      </c>
      <c r="E88" s="42">
        <v>20</v>
      </c>
      <c r="F88" s="41" t="s">
        <v>349</v>
      </c>
      <c r="G88" s="41">
        <v>1</v>
      </c>
      <c r="H88" s="42">
        <v>6</v>
      </c>
    </row>
    <row r="89" spans="1:8">
      <c r="A89" s="41" t="s">
        <v>207</v>
      </c>
      <c r="B89" s="41" t="s">
        <v>247</v>
      </c>
      <c r="C89" s="41"/>
      <c r="D89" s="42">
        <v>20</v>
      </c>
      <c r="E89" s="42"/>
      <c r="F89" s="41" t="s">
        <v>350</v>
      </c>
      <c r="G89" s="41">
        <v>2</v>
      </c>
      <c r="H89" s="42">
        <v>1</v>
      </c>
    </row>
    <row r="90" spans="1:8">
      <c r="A90" s="41" t="s">
        <v>210</v>
      </c>
      <c r="B90" s="41" t="s">
        <v>247</v>
      </c>
      <c r="C90" s="41"/>
      <c r="D90" s="42"/>
      <c r="E90" s="42">
        <v>15</v>
      </c>
      <c r="F90" s="41" t="s">
        <v>351</v>
      </c>
      <c r="G90" s="41">
        <v>0</v>
      </c>
      <c r="H90" s="42">
        <v>1</v>
      </c>
    </row>
    <row r="91" spans="1:8">
      <c r="A91" s="41" t="s">
        <v>210</v>
      </c>
      <c r="B91" s="41" t="s">
        <v>247</v>
      </c>
      <c r="C91" s="41"/>
      <c r="D91" s="42">
        <v>15</v>
      </c>
      <c r="E91" s="42">
        <v>25</v>
      </c>
      <c r="F91" s="41" t="s">
        <v>352</v>
      </c>
      <c r="G91" s="41">
        <v>1</v>
      </c>
      <c r="H91" s="42">
        <v>6</v>
      </c>
    </row>
    <row r="92" spans="1:8">
      <c r="A92" s="41" t="s">
        <v>210</v>
      </c>
      <c r="B92" s="41" t="s">
        <v>247</v>
      </c>
      <c r="C92" s="41"/>
      <c r="D92" s="42">
        <v>25</v>
      </c>
      <c r="E92" s="42"/>
      <c r="F92" s="41" t="s">
        <v>353</v>
      </c>
      <c r="G92" s="41">
        <v>2</v>
      </c>
      <c r="H92" s="42">
        <v>10</v>
      </c>
    </row>
    <row r="93" spans="1:8">
      <c r="A93" s="41" t="s">
        <v>213</v>
      </c>
      <c r="B93" s="41" t="s">
        <v>247</v>
      </c>
      <c r="C93" s="41"/>
      <c r="D93" s="42"/>
      <c r="E93" s="42">
        <v>60</v>
      </c>
      <c r="F93" s="41" t="s">
        <v>354</v>
      </c>
      <c r="G93" s="41">
        <v>0</v>
      </c>
      <c r="H93" s="42">
        <v>10</v>
      </c>
    </row>
    <row r="94" spans="1:8">
      <c r="A94" s="41" t="s">
        <v>213</v>
      </c>
      <c r="B94" s="41" t="s">
        <v>247</v>
      </c>
      <c r="C94" s="41"/>
      <c r="D94" s="42">
        <v>60</v>
      </c>
      <c r="E94" s="42">
        <v>80</v>
      </c>
      <c r="F94" s="41" t="s">
        <v>355</v>
      </c>
      <c r="G94" s="41">
        <v>1</v>
      </c>
      <c r="H94" s="42">
        <v>6</v>
      </c>
    </row>
    <row r="95" spans="1:8">
      <c r="A95" s="41" t="s">
        <v>213</v>
      </c>
      <c r="B95" s="41" t="s">
        <v>247</v>
      </c>
      <c r="C95" s="41"/>
      <c r="D95" s="42">
        <v>80</v>
      </c>
      <c r="E95" s="42"/>
      <c r="F95" s="41" t="s">
        <v>356</v>
      </c>
      <c r="G95" s="41">
        <v>2</v>
      </c>
      <c r="H95" s="42">
        <v>1</v>
      </c>
    </row>
    <row r="96" spans="1:8">
      <c r="A96" s="41" t="s">
        <v>216</v>
      </c>
      <c r="B96" s="41" t="s">
        <v>247</v>
      </c>
      <c r="C96" s="41"/>
      <c r="D96" s="42"/>
      <c r="E96" s="42">
        <v>70</v>
      </c>
      <c r="F96" s="41" t="s">
        <v>357</v>
      </c>
      <c r="G96" s="41">
        <v>0</v>
      </c>
      <c r="H96" s="42">
        <v>10</v>
      </c>
    </row>
    <row r="97" spans="1:8">
      <c r="A97" s="41" t="s">
        <v>216</v>
      </c>
      <c r="B97" s="41" t="s">
        <v>247</v>
      </c>
      <c r="C97" s="41"/>
      <c r="D97" s="42">
        <v>70</v>
      </c>
      <c r="E97" s="42">
        <v>85</v>
      </c>
      <c r="F97" s="41" t="s">
        <v>358</v>
      </c>
      <c r="G97" s="41">
        <v>1</v>
      </c>
      <c r="H97" s="42">
        <v>6</v>
      </c>
    </row>
    <row r="98" spans="1:8">
      <c r="A98" s="41" t="s">
        <v>216</v>
      </c>
      <c r="B98" s="41" t="s">
        <v>247</v>
      </c>
      <c r="C98" s="41"/>
      <c r="D98" s="42">
        <v>85</v>
      </c>
      <c r="E98" s="42"/>
      <c r="F98" s="41" t="s">
        <v>359</v>
      </c>
      <c r="G98" s="41">
        <v>2</v>
      </c>
      <c r="H98" s="42">
        <v>1</v>
      </c>
    </row>
    <row r="99" spans="1:8">
      <c r="A99" s="41" t="s">
        <v>220</v>
      </c>
      <c r="B99" s="41" t="s">
        <v>247</v>
      </c>
      <c r="C99" s="41"/>
      <c r="D99" s="42"/>
      <c r="E99" s="42">
        <v>90</v>
      </c>
      <c r="F99" s="41" t="s">
        <v>360</v>
      </c>
      <c r="G99" s="41">
        <v>0</v>
      </c>
      <c r="H99" s="42">
        <v>1</v>
      </c>
    </row>
    <row r="100" spans="1:8">
      <c r="A100" s="41" t="s">
        <v>220</v>
      </c>
      <c r="B100" s="41" t="s">
        <v>247</v>
      </c>
      <c r="C100" s="41"/>
      <c r="D100" s="42">
        <v>90</v>
      </c>
      <c r="E100" s="42">
        <v>120</v>
      </c>
      <c r="F100" s="41" t="s">
        <v>361</v>
      </c>
      <c r="G100" s="41">
        <v>1</v>
      </c>
      <c r="H100" s="42">
        <v>6</v>
      </c>
    </row>
    <row r="101" spans="1:8">
      <c r="A101" s="41" t="s">
        <v>220</v>
      </c>
      <c r="B101" s="41" t="s">
        <v>247</v>
      </c>
      <c r="C101" s="41"/>
      <c r="D101" s="42">
        <v>120</v>
      </c>
      <c r="E101" s="42"/>
      <c r="F101" s="41" t="s">
        <v>362</v>
      </c>
      <c r="G101" s="41">
        <v>2</v>
      </c>
      <c r="H101" s="42">
        <v>10</v>
      </c>
    </row>
    <row r="102" spans="1:8">
      <c r="A102" s="41" t="s">
        <v>223</v>
      </c>
      <c r="B102" s="41" t="s">
        <v>254</v>
      </c>
      <c r="C102" s="41" t="s">
        <v>363</v>
      </c>
      <c r="D102" s="42"/>
      <c r="E102" s="42"/>
      <c r="F102" s="41" t="s">
        <v>364</v>
      </c>
      <c r="G102" s="41">
        <v>0</v>
      </c>
      <c r="H102" s="42">
        <v>1</v>
      </c>
    </row>
    <row r="103" spans="1:8">
      <c r="A103" s="41" t="s">
        <v>223</v>
      </c>
      <c r="B103" s="41" t="s">
        <v>254</v>
      </c>
      <c r="C103" s="41" t="s">
        <v>365</v>
      </c>
      <c r="D103" s="42"/>
      <c r="E103" s="42"/>
      <c r="F103" s="41" t="s">
        <v>366</v>
      </c>
      <c r="G103" s="41">
        <v>1</v>
      </c>
      <c r="H103" s="42">
        <v>10</v>
      </c>
    </row>
    <row r="104" spans="1:8">
      <c r="A104" s="41" t="s">
        <v>226</v>
      </c>
      <c r="B104" s="41" t="s">
        <v>247</v>
      </c>
      <c r="C104" s="41"/>
      <c r="D104" s="42"/>
      <c r="E104" s="42">
        <v>1.5</v>
      </c>
      <c r="F104" s="41" t="s">
        <v>367</v>
      </c>
      <c r="G104" s="41">
        <v>0</v>
      </c>
      <c r="H104" s="42">
        <v>1</v>
      </c>
    </row>
    <row r="105" spans="1:8">
      <c r="A105" s="41" t="s">
        <v>226</v>
      </c>
      <c r="B105" s="41" t="s">
        <v>247</v>
      </c>
      <c r="C105" s="41"/>
      <c r="D105" s="42">
        <v>1.5</v>
      </c>
      <c r="E105" s="42">
        <v>3</v>
      </c>
      <c r="F105" s="41" t="s">
        <v>368</v>
      </c>
      <c r="G105" s="41">
        <v>1</v>
      </c>
      <c r="H105" s="42">
        <v>6</v>
      </c>
    </row>
    <row r="106" spans="1:8">
      <c r="A106" s="41" t="s">
        <v>226</v>
      </c>
      <c r="B106" s="41" t="s">
        <v>247</v>
      </c>
      <c r="C106" s="41"/>
      <c r="D106" s="42">
        <v>3</v>
      </c>
      <c r="E106" s="42"/>
      <c r="F106" s="41" t="s">
        <v>250</v>
      </c>
      <c r="G106" s="41">
        <v>2</v>
      </c>
      <c r="H106" s="42">
        <v>10</v>
      </c>
    </row>
    <row r="107" spans="1:8">
      <c r="A107" s="41" t="s">
        <v>229</v>
      </c>
      <c r="B107" s="41" t="s">
        <v>247</v>
      </c>
      <c r="C107" s="41"/>
      <c r="D107" s="42"/>
      <c r="E107" s="42">
        <v>-10</v>
      </c>
      <c r="F107" s="41" t="s">
        <v>369</v>
      </c>
      <c r="G107" s="41">
        <v>0</v>
      </c>
      <c r="H107" s="42">
        <v>1</v>
      </c>
    </row>
    <row r="108" spans="1:8">
      <c r="A108" s="41" t="s">
        <v>229</v>
      </c>
      <c r="B108" s="41" t="s">
        <v>247</v>
      </c>
      <c r="C108" s="41"/>
      <c r="D108" s="42">
        <v>-10</v>
      </c>
      <c r="E108" s="42">
        <v>0</v>
      </c>
      <c r="F108" s="41" t="s">
        <v>370</v>
      </c>
      <c r="G108" s="41">
        <v>1</v>
      </c>
      <c r="H108" s="42">
        <v>6</v>
      </c>
    </row>
    <row r="109" spans="1:8">
      <c r="A109" s="41" t="s">
        <v>229</v>
      </c>
      <c r="B109" s="41" t="s">
        <v>247</v>
      </c>
      <c r="C109" s="41"/>
      <c r="D109" s="42">
        <v>0</v>
      </c>
      <c r="E109" s="42"/>
      <c r="F109" s="41" t="s">
        <v>371</v>
      </c>
      <c r="G109" s="41">
        <v>2</v>
      </c>
      <c r="H109" s="42">
        <v>10</v>
      </c>
    </row>
    <row r="110" spans="1:8">
      <c r="A110" s="41" t="s">
        <v>233</v>
      </c>
      <c r="B110" s="41" t="s">
        <v>247</v>
      </c>
      <c r="C110" s="41"/>
      <c r="D110" s="42"/>
      <c r="E110" s="42">
        <v>105</v>
      </c>
      <c r="F110" s="41" t="s">
        <v>372</v>
      </c>
      <c r="G110" s="41">
        <v>0</v>
      </c>
      <c r="H110" s="42">
        <v>10</v>
      </c>
    </row>
    <row r="111" spans="1:8">
      <c r="A111" s="41" t="s">
        <v>233</v>
      </c>
      <c r="B111" s="41" t="s">
        <v>247</v>
      </c>
      <c r="C111" s="41"/>
      <c r="D111" s="42">
        <v>105</v>
      </c>
      <c r="E111" s="42">
        <v>115</v>
      </c>
      <c r="F111" s="41" t="s">
        <v>373</v>
      </c>
      <c r="G111" s="41">
        <v>1</v>
      </c>
      <c r="H111" s="42">
        <v>6</v>
      </c>
    </row>
    <row r="112" spans="1:8">
      <c r="A112" s="41" t="s">
        <v>233</v>
      </c>
      <c r="B112" s="41" t="s">
        <v>247</v>
      </c>
      <c r="C112" s="41"/>
      <c r="D112" s="42">
        <v>115</v>
      </c>
      <c r="E112" s="42"/>
      <c r="F112" s="41" t="s">
        <v>374</v>
      </c>
      <c r="G112" s="41">
        <v>2</v>
      </c>
      <c r="H112" s="42">
        <v>1</v>
      </c>
    </row>
    <row r="113" spans="1:8">
      <c r="A113" s="41" t="s">
        <v>236</v>
      </c>
      <c r="B113" s="41" t="s">
        <v>247</v>
      </c>
      <c r="C113" s="41"/>
      <c r="D113" s="42"/>
      <c r="E113" s="42">
        <v>5</v>
      </c>
      <c r="F113" s="41" t="s">
        <v>375</v>
      </c>
      <c r="G113" s="41">
        <v>0</v>
      </c>
      <c r="H113" s="42">
        <v>10</v>
      </c>
    </row>
    <row r="114" spans="1:8">
      <c r="A114" s="41" t="s">
        <v>236</v>
      </c>
      <c r="B114" s="41" t="s">
        <v>247</v>
      </c>
      <c r="C114" s="41"/>
      <c r="D114" s="42">
        <v>5</v>
      </c>
      <c r="E114" s="42">
        <v>10</v>
      </c>
      <c r="F114" s="41" t="s">
        <v>376</v>
      </c>
      <c r="G114" s="41">
        <v>1</v>
      </c>
      <c r="H114" s="42">
        <v>6</v>
      </c>
    </row>
    <row r="115" spans="1:8">
      <c r="A115" s="41" t="s">
        <v>236</v>
      </c>
      <c r="B115" s="41" t="s">
        <v>247</v>
      </c>
      <c r="C115" s="41"/>
      <c r="D115" s="42">
        <v>10</v>
      </c>
      <c r="E115" s="42"/>
      <c r="F115" s="41" t="s">
        <v>377</v>
      </c>
      <c r="G115" s="41">
        <v>2</v>
      </c>
      <c r="H115" s="42">
        <v>1</v>
      </c>
    </row>
  </sheetData>
  <dataValidations count="1">
    <dataValidation type="list" allowBlank="1" showInputMessage="1" showErrorMessage="1" sqref="B5:B400">
      <formula1>"PLAGE,MODALITE"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5B9BD5"/>
  </sheetPr>
  <dimension ref="A1:K34"/>
  <sheetViews>
    <sheetView workbookViewId="0"/>
  </sheetViews>
  <sheetFormatPr defaultRowHeight="15"/>
  <cols>
    <col min="1" max="1" width="30.7109375" customWidth="1"/>
    <col min="2" max="2" width="48.7109375" customWidth="1"/>
    <col min="3" max="3" width="11.7109375" customWidth="1"/>
    <col min="4" max="4" width="8.7109375" customWidth="1"/>
    <col min="5" max="5" width="10.7109375" customWidth="1"/>
    <col min="6" max="6" width="30.7109375" customWidth="1"/>
    <col min="7" max="7" width="10.7109375" customWidth="1"/>
    <col min="8" max="8" width="12.7109375" customWidth="1"/>
    <col min="9" max="9" width="9.7109375" customWidth="1"/>
    <col min="10" max="10" width="14.7109375" customWidth="1"/>
    <col min="11" max="11" width="50.7109375" customWidth="1"/>
  </cols>
  <sheetData>
    <row r="1" spans="1:11">
      <c r="A1" s="12" t="s">
        <v>378</v>
      </c>
    </row>
    <row r="2" spans="1:11">
      <c r="A2" s="2" t="s">
        <v>379</v>
      </c>
    </row>
    <row r="4" spans="1:11">
      <c r="A4" s="19" t="s">
        <v>18</v>
      </c>
      <c r="B4" s="19" t="s">
        <v>30</v>
      </c>
      <c r="C4" s="19" t="s">
        <v>380</v>
      </c>
      <c r="D4" s="19" t="s">
        <v>381</v>
      </c>
      <c r="E4" s="19" t="s">
        <v>382</v>
      </c>
      <c r="F4" s="19" t="s">
        <v>111</v>
      </c>
      <c r="G4" s="19" t="s">
        <v>383</v>
      </c>
      <c r="H4" s="19" t="s">
        <v>384</v>
      </c>
      <c r="I4" s="19" t="s">
        <v>385</v>
      </c>
      <c r="J4" s="19" t="s">
        <v>386</v>
      </c>
      <c r="K4" s="19" t="s">
        <v>387</v>
      </c>
    </row>
    <row r="5" spans="1:11">
      <c r="A5" s="41" t="s">
        <v>388</v>
      </c>
      <c r="B5" s="41" t="s">
        <v>389</v>
      </c>
      <c r="C5" s="41" t="s">
        <v>390</v>
      </c>
      <c r="D5" s="42">
        <v>10</v>
      </c>
      <c r="E5" s="41" t="s">
        <v>391</v>
      </c>
      <c r="F5" s="41" t="s">
        <v>392</v>
      </c>
      <c r="G5" s="41" t="s">
        <v>393</v>
      </c>
      <c r="H5" s="42"/>
      <c r="I5" s="41" t="s">
        <v>36</v>
      </c>
      <c r="J5" s="41" t="s">
        <v>394</v>
      </c>
      <c r="K5" s="41" t="s">
        <v>395</v>
      </c>
    </row>
    <row r="6" spans="1:11">
      <c r="A6" s="41" t="s">
        <v>396</v>
      </c>
      <c r="B6" s="41" t="s">
        <v>397</v>
      </c>
      <c r="C6" s="41" t="s">
        <v>398</v>
      </c>
      <c r="D6" s="42">
        <v>15</v>
      </c>
      <c r="E6" s="41" t="s">
        <v>399</v>
      </c>
      <c r="F6" s="41" t="s">
        <v>400</v>
      </c>
      <c r="G6" s="41" t="s">
        <v>393</v>
      </c>
      <c r="H6" s="42"/>
      <c r="I6" s="41" t="s">
        <v>36</v>
      </c>
      <c r="J6" s="41" t="s">
        <v>401</v>
      </c>
      <c r="K6" s="41" t="s">
        <v>402</v>
      </c>
    </row>
    <row r="7" spans="1:11">
      <c r="A7" s="41" t="s">
        <v>403</v>
      </c>
      <c r="B7" s="41" t="s">
        <v>404</v>
      </c>
      <c r="C7" s="41" t="s">
        <v>398</v>
      </c>
      <c r="D7" s="42">
        <v>25</v>
      </c>
      <c r="E7" s="41" t="s">
        <v>391</v>
      </c>
      <c r="F7" s="41" t="s">
        <v>191</v>
      </c>
      <c r="G7" s="41" t="s">
        <v>405</v>
      </c>
      <c r="H7" s="42">
        <v>1</v>
      </c>
      <c r="I7" s="41" t="s">
        <v>36</v>
      </c>
      <c r="J7" s="41" t="s">
        <v>394</v>
      </c>
      <c r="K7" s="41"/>
    </row>
    <row r="8" spans="1:11">
      <c r="A8" s="41" t="s">
        <v>406</v>
      </c>
      <c r="B8" s="41" t="s">
        <v>407</v>
      </c>
      <c r="C8" s="41" t="s">
        <v>390</v>
      </c>
      <c r="D8" s="42">
        <v>10</v>
      </c>
      <c r="E8" s="41" t="s">
        <v>391</v>
      </c>
      <c r="F8" s="41" t="s">
        <v>408</v>
      </c>
      <c r="G8" s="41" t="s">
        <v>393</v>
      </c>
      <c r="H8" s="42"/>
      <c r="I8" s="41" t="s">
        <v>36</v>
      </c>
      <c r="J8" s="41" t="s">
        <v>394</v>
      </c>
      <c r="K8" s="41" t="s">
        <v>409</v>
      </c>
    </row>
    <row r="9" spans="1:11">
      <c r="A9" s="41" t="s">
        <v>410</v>
      </c>
      <c r="B9" s="41" t="s">
        <v>411</v>
      </c>
      <c r="C9" s="41" t="s">
        <v>390</v>
      </c>
      <c r="D9" s="42">
        <v>0</v>
      </c>
      <c r="E9" s="41" t="s">
        <v>412</v>
      </c>
      <c r="F9" s="41" t="s">
        <v>413</v>
      </c>
      <c r="G9" s="41" t="s">
        <v>393</v>
      </c>
      <c r="H9" s="42"/>
      <c r="I9" s="41" t="s">
        <v>41</v>
      </c>
      <c r="J9" s="41" t="s">
        <v>414</v>
      </c>
      <c r="K9" s="41" t="s">
        <v>415</v>
      </c>
    </row>
    <row r="10" spans="1:11">
      <c r="A10" s="41" t="s">
        <v>416</v>
      </c>
      <c r="B10" s="41" t="s">
        <v>417</v>
      </c>
      <c r="C10" s="41" t="s">
        <v>398</v>
      </c>
      <c r="D10" s="42">
        <v>15</v>
      </c>
      <c r="E10" s="41" t="s">
        <v>399</v>
      </c>
      <c r="F10" s="41" t="s">
        <v>418</v>
      </c>
      <c r="G10" s="41" t="s">
        <v>393</v>
      </c>
      <c r="H10" s="42"/>
      <c r="I10" s="41" t="s">
        <v>41</v>
      </c>
      <c r="J10" s="41" t="s">
        <v>401</v>
      </c>
      <c r="K10" s="41" t="s">
        <v>419</v>
      </c>
    </row>
    <row r="11" spans="1:11">
      <c r="A11" s="41" t="s">
        <v>420</v>
      </c>
      <c r="B11" s="41" t="s">
        <v>421</v>
      </c>
      <c r="C11" s="41" t="s">
        <v>398</v>
      </c>
      <c r="D11" s="42">
        <v>25</v>
      </c>
      <c r="E11" s="41" t="s">
        <v>422</v>
      </c>
      <c r="F11" s="41" t="s">
        <v>423</v>
      </c>
      <c r="G11" s="41" t="s">
        <v>393</v>
      </c>
      <c r="H11" s="42"/>
      <c r="I11" s="41" t="s">
        <v>36</v>
      </c>
      <c r="J11" s="41" t="s">
        <v>394</v>
      </c>
      <c r="K11" s="41"/>
    </row>
    <row r="12" spans="1:11">
      <c r="A12" s="41" t="s">
        <v>424</v>
      </c>
      <c r="B12" s="41" t="s">
        <v>425</v>
      </c>
      <c r="C12" s="41" t="s">
        <v>398</v>
      </c>
      <c r="D12" s="42">
        <v>20</v>
      </c>
      <c r="E12" s="41" t="s">
        <v>391</v>
      </c>
      <c r="F12" s="41" t="s">
        <v>426</v>
      </c>
      <c r="G12" s="41" t="s">
        <v>393</v>
      </c>
      <c r="H12" s="42"/>
      <c r="I12" s="41" t="s">
        <v>36</v>
      </c>
      <c r="J12" s="41" t="s">
        <v>394</v>
      </c>
      <c r="K12" s="41"/>
    </row>
    <row r="13" spans="1:11">
      <c r="A13" s="41" t="s">
        <v>427</v>
      </c>
      <c r="B13" s="41" t="s">
        <v>428</v>
      </c>
      <c r="C13" s="41" t="s">
        <v>429</v>
      </c>
      <c r="D13" s="42">
        <v>0</v>
      </c>
      <c r="E13" s="41" t="s">
        <v>412</v>
      </c>
      <c r="F13" s="41" t="s">
        <v>16</v>
      </c>
      <c r="G13" s="41" t="s">
        <v>430</v>
      </c>
      <c r="H13" s="42">
        <v>90</v>
      </c>
      <c r="I13" s="41" t="s">
        <v>36</v>
      </c>
      <c r="J13" s="41" t="s">
        <v>414</v>
      </c>
      <c r="K13" s="41" t="s">
        <v>431</v>
      </c>
    </row>
    <row r="14" spans="1:11">
      <c r="A14" s="41" t="s">
        <v>432</v>
      </c>
      <c r="B14" s="41" t="s">
        <v>433</v>
      </c>
      <c r="C14" s="41" t="s">
        <v>429</v>
      </c>
      <c r="D14" s="42">
        <v>0</v>
      </c>
      <c r="E14" s="41" t="s">
        <v>412</v>
      </c>
      <c r="F14" s="41" t="s">
        <v>434</v>
      </c>
      <c r="G14" s="41" t="s">
        <v>435</v>
      </c>
      <c r="H14" s="42" t="s">
        <v>436</v>
      </c>
      <c r="I14" s="41" t="s">
        <v>36</v>
      </c>
      <c r="J14" s="41" t="s">
        <v>414</v>
      </c>
      <c r="K14" s="41" t="s">
        <v>437</v>
      </c>
    </row>
    <row r="15" spans="1:11">
      <c r="A15" s="41" t="s">
        <v>438</v>
      </c>
      <c r="B15" s="41" t="s">
        <v>439</v>
      </c>
      <c r="C15" s="41" t="s">
        <v>398</v>
      </c>
      <c r="D15" s="42">
        <v>15</v>
      </c>
      <c r="E15" s="41" t="s">
        <v>422</v>
      </c>
      <c r="F15" s="41" t="s">
        <v>440</v>
      </c>
      <c r="G15" s="41" t="s">
        <v>393</v>
      </c>
      <c r="H15" s="42"/>
      <c r="I15" s="41" t="s">
        <v>41</v>
      </c>
      <c r="J15" s="41" t="s">
        <v>401</v>
      </c>
      <c r="K15" s="41" t="s">
        <v>441</v>
      </c>
    </row>
    <row r="16" spans="1:11">
      <c r="A16" s="41" t="s">
        <v>442</v>
      </c>
      <c r="B16" s="41" t="s">
        <v>443</v>
      </c>
      <c r="C16" s="41" t="s">
        <v>390</v>
      </c>
      <c r="D16" s="42">
        <v>25</v>
      </c>
      <c r="E16" s="41" t="s">
        <v>422</v>
      </c>
      <c r="F16" s="41" t="s">
        <v>225</v>
      </c>
      <c r="G16" s="41" t="s">
        <v>435</v>
      </c>
      <c r="H16" s="42" t="s">
        <v>363</v>
      </c>
      <c r="I16" s="41" t="s">
        <v>36</v>
      </c>
      <c r="J16" s="41" t="s">
        <v>401</v>
      </c>
      <c r="K16" s="41"/>
    </row>
    <row r="17" spans="1:11">
      <c r="A17" s="41" t="s">
        <v>444</v>
      </c>
      <c r="B17" s="41" t="s">
        <v>445</v>
      </c>
      <c r="C17" s="41" t="s">
        <v>390</v>
      </c>
      <c r="D17" s="42">
        <v>5</v>
      </c>
      <c r="E17" s="41" t="s">
        <v>399</v>
      </c>
      <c r="F17" s="41" t="s">
        <v>446</v>
      </c>
      <c r="G17" s="41" t="s">
        <v>393</v>
      </c>
      <c r="H17" s="42"/>
      <c r="I17" s="41" t="s">
        <v>36</v>
      </c>
      <c r="J17" s="41" t="s">
        <v>401</v>
      </c>
      <c r="K17" s="41" t="s">
        <v>447</v>
      </c>
    </row>
    <row r="18" spans="1:11">
      <c r="A18" s="41" t="s">
        <v>448</v>
      </c>
      <c r="B18" s="41" t="s">
        <v>449</v>
      </c>
      <c r="C18" s="41" t="s">
        <v>429</v>
      </c>
      <c r="D18" s="42">
        <v>0</v>
      </c>
      <c r="E18" s="41" t="s">
        <v>412</v>
      </c>
      <c r="F18" s="41" t="s">
        <v>450</v>
      </c>
      <c r="G18" s="41" t="s">
        <v>430</v>
      </c>
      <c r="H18" s="42">
        <v>12</v>
      </c>
      <c r="I18" s="41" t="s">
        <v>36</v>
      </c>
      <c r="J18" s="41" t="s">
        <v>414</v>
      </c>
      <c r="K18" s="41" t="s">
        <v>451</v>
      </c>
    </row>
    <row r="19" spans="1:11">
      <c r="A19" s="41" t="s">
        <v>452</v>
      </c>
      <c r="B19" s="41" t="s">
        <v>453</v>
      </c>
      <c r="C19" s="41" t="s">
        <v>390</v>
      </c>
      <c r="D19" s="42">
        <v>25</v>
      </c>
      <c r="E19" s="41" t="s">
        <v>412</v>
      </c>
      <c r="F19" s="41" t="s">
        <v>454</v>
      </c>
      <c r="G19" s="41" t="s">
        <v>435</v>
      </c>
      <c r="H19" s="42" t="s">
        <v>455</v>
      </c>
      <c r="I19" s="41" t="s">
        <v>41</v>
      </c>
      <c r="J19" s="41" t="s">
        <v>414</v>
      </c>
      <c r="K19" s="41" t="s">
        <v>456</v>
      </c>
    </row>
    <row r="20" spans="1:11">
      <c r="A20" s="41" t="s">
        <v>457</v>
      </c>
      <c r="B20" s="41" t="s">
        <v>458</v>
      </c>
      <c r="C20" s="41" t="s">
        <v>398</v>
      </c>
      <c r="D20" s="42">
        <v>15</v>
      </c>
      <c r="E20" s="41" t="s">
        <v>399</v>
      </c>
      <c r="F20" s="41" t="s">
        <v>459</v>
      </c>
      <c r="G20" s="41" t="s">
        <v>430</v>
      </c>
      <c r="H20" s="42">
        <v>6</v>
      </c>
      <c r="I20" s="41" t="s">
        <v>41</v>
      </c>
      <c r="J20" s="41" t="s">
        <v>401</v>
      </c>
      <c r="K20" s="41" t="s">
        <v>451</v>
      </c>
    </row>
    <row r="21" spans="1:11">
      <c r="A21" s="41" t="s">
        <v>460</v>
      </c>
      <c r="B21" s="41" t="s">
        <v>461</v>
      </c>
      <c r="C21" s="41" t="s">
        <v>398</v>
      </c>
      <c r="D21" s="42">
        <v>15</v>
      </c>
      <c r="E21" s="41" t="s">
        <v>422</v>
      </c>
      <c r="F21" s="41" t="s">
        <v>462</v>
      </c>
      <c r="G21" s="41" t="s">
        <v>393</v>
      </c>
      <c r="H21" s="42"/>
      <c r="I21" s="41" t="s">
        <v>41</v>
      </c>
      <c r="J21" s="41" t="s">
        <v>401</v>
      </c>
      <c r="K21" s="41" t="s">
        <v>463</v>
      </c>
    </row>
    <row r="22" spans="1:11">
      <c r="A22" s="41" t="s">
        <v>464</v>
      </c>
      <c r="B22" s="41" t="s">
        <v>465</v>
      </c>
      <c r="C22" s="41" t="s">
        <v>398</v>
      </c>
      <c r="D22" s="42">
        <v>15</v>
      </c>
      <c r="E22" s="41" t="s">
        <v>399</v>
      </c>
      <c r="F22" s="41" t="s">
        <v>179</v>
      </c>
      <c r="G22" s="41" t="s">
        <v>435</v>
      </c>
      <c r="H22" s="42" t="s">
        <v>317</v>
      </c>
      <c r="I22" s="41" t="s">
        <v>41</v>
      </c>
      <c r="J22" s="41" t="s">
        <v>401</v>
      </c>
      <c r="K22" s="41" t="s">
        <v>466</v>
      </c>
    </row>
    <row r="23" spans="1:11">
      <c r="A23" s="41"/>
      <c r="B23" s="41"/>
      <c r="C23" s="41"/>
      <c r="D23" s="42"/>
      <c r="E23" s="41"/>
      <c r="F23" s="41"/>
      <c r="G23" s="41"/>
      <c r="H23" s="42"/>
      <c r="I23" s="41"/>
      <c r="J23" s="41"/>
      <c r="K23" s="41"/>
    </row>
    <row r="24" spans="1:11">
      <c r="A24" s="41"/>
      <c r="B24" s="41"/>
      <c r="C24" s="41"/>
      <c r="D24" s="42"/>
      <c r="E24" s="41"/>
      <c r="F24" s="41"/>
      <c r="G24" s="41"/>
      <c r="H24" s="42"/>
      <c r="I24" s="41"/>
      <c r="J24" s="41"/>
      <c r="K24" s="41"/>
    </row>
    <row r="25" spans="1:11">
      <c r="A25" s="41"/>
      <c r="B25" s="41"/>
      <c r="C25" s="41"/>
      <c r="D25" s="42"/>
      <c r="E25" s="41"/>
      <c r="F25" s="41"/>
      <c r="G25" s="41"/>
      <c r="H25" s="42"/>
      <c r="I25" s="41"/>
      <c r="J25" s="41"/>
      <c r="K25" s="41"/>
    </row>
    <row r="26" spans="1:11">
      <c r="A26" s="41"/>
      <c r="B26" s="41"/>
      <c r="C26" s="41"/>
      <c r="D26" s="42"/>
      <c r="E26" s="41"/>
      <c r="F26" s="41"/>
      <c r="G26" s="41"/>
      <c r="H26" s="42"/>
      <c r="I26" s="41"/>
      <c r="J26" s="41"/>
      <c r="K26" s="41"/>
    </row>
    <row r="27" spans="1:11">
      <c r="A27" s="41"/>
      <c r="B27" s="41"/>
      <c r="C27" s="41"/>
      <c r="D27" s="42"/>
      <c r="E27" s="41"/>
      <c r="F27" s="41"/>
      <c r="G27" s="41"/>
      <c r="H27" s="42"/>
      <c r="I27" s="41"/>
      <c r="J27" s="41"/>
      <c r="K27" s="41"/>
    </row>
    <row r="28" spans="1:11">
      <c r="A28" s="41"/>
      <c r="B28" s="41"/>
      <c r="C28" s="41"/>
      <c r="D28" s="42"/>
      <c r="E28" s="41"/>
      <c r="F28" s="41"/>
      <c r="G28" s="41"/>
      <c r="H28" s="42"/>
      <c r="I28" s="41"/>
      <c r="J28" s="41"/>
      <c r="K28" s="41"/>
    </row>
    <row r="29" spans="1:11">
      <c r="A29" s="41"/>
      <c r="B29" s="41"/>
      <c r="C29" s="41"/>
      <c r="D29" s="42"/>
      <c r="E29" s="41"/>
      <c r="F29" s="41"/>
      <c r="G29" s="41"/>
      <c r="H29" s="42"/>
      <c r="I29" s="41"/>
      <c r="J29" s="41"/>
      <c r="K29" s="41"/>
    </row>
    <row r="30" spans="1:11">
      <c r="A30" s="41"/>
      <c r="B30" s="41"/>
      <c r="C30" s="41"/>
      <c r="D30" s="42"/>
      <c r="E30" s="41"/>
      <c r="F30" s="41"/>
      <c r="G30" s="41"/>
      <c r="H30" s="42"/>
      <c r="I30" s="41"/>
      <c r="J30" s="41"/>
      <c r="K30" s="41"/>
    </row>
    <row r="31" spans="1:11">
      <c r="A31" s="41"/>
      <c r="B31" s="41"/>
      <c r="C31" s="41"/>
      <c r="D31" s="42"/>
      <c r="E31" s="41"/>
      <c r="F31" s="41"/>
      <c r="G31" s="41"/>
      <c r="H31" s="42"/>
      <c r="I31" s="41"/>
      <c r="J31" s="41"/>
      <c r="K31" s="41"/>
    </row>
    <row r="32" spans="1:11">
      <c r="A32" s="41"/>
      <c r="B32" s="41"/>
      <c r="C32" s="41"/>
      <c r="D32" s="42"/>
      <c r="E32" s="41"/>
      <c r="F32" s="41"/>
      <c r="G32" s="41"/>
      <c r="H32" s="42"/>
      <c r="I32" s="41"/>
      <c r="J32" s="41"/>
      <c r="K32" s="41"/>
    </row>
    <row r="33" spans="1:11">
      <c r="A33" s="41"/>
      <c r="B33" s="41"/>
      <c r="C33" s="41"/>
      <c r="D33" s="42"/>
      <c r="E33" s="41"/>
      <c r="F33" s="41"/>
      <c r="G33" s="41"/>
      <c r="H33" s="42"/>
      <c r="I33" s="41"/>
      <c r="J33" s="41"/>
      <c r="K33" s="41"/>
    </row>
    <row r="34" spans="1:11">
      <c r="A34" s="41"/>
      <c r="B34" s="41"/>
      <c r="C34" s="41"/>
      <c r="D34" s="42"/>
      <c r="E34" s="41"/>
      <c r="F34" s="41"/>
      <c r="G34" s="41"/>
      <c r="H34" s="42"/>
      <c r="I34" s="41"/>
      <c r="J34" s="41"/>
      <c r="K34" s="41"/>
    </row>
  </sheetData>
  <dataValidations count="3">
    <dataValidation type="list" allowBlank="1" showInputMessage="1" showErrorMessage="1" sqref="C5:C34">
      <formula1>"LOW,MEDIUM,HIGH,BLOCKING"</formula1>
    </dataValidation>
    <dataValidation type="list" allowBlank="1" showInputMessage="1" showErrorMessage="1" sqref="G5:G34">
      <formula1>"isTrue,isFalse,eq,neq,gt,gte,lt,lte"</formula1>
    </dataValidation>
    <dataValidation type="list" allowBlank="1" showInputMessage="1" showErrorMessage="1" sqref="I5:I34">
      <formula1>"Oui,Non"</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5B9BD5"/>
  </sheetPr>
  <dimension ref="A1:G24"/>
  <sheetViews>
    <sheetView workbookViewId="0"/>
  </sheetViews>
  <sheetFormatPr defaultRowHeight="15"/>
  <cols>
    <col min="1" max="1" width="22.7109375" customWidth="1"/>
    <col min="2" max="2" width="30.7109375" customWidth="1"/>
    <col min="3" max="3" width="10.7109375" customWidth="1"/>
    <col min="5" max="5" width="22.7109375" customWidth="1"/>
    <col min="6" max="6" width="30.7109375" customWidth="1"/>
    <col min="7" max="7" width="10.7109375" customWidth="1"/>
  </cols>
  <sheetData>
    <row r="1" spans="1:7">
      <c r="A1" s="12" t="s">
        <v>69</v>
      </c>
    </row>
    <row r="2" spans="1:7">
      <c r="A2" s="2" t="s">
        <v>70</v>
      </c>
    </row>
    <row r="4" spans="1:7">
      <c r="A4" s="19" t="s">
        <v>71</v>
      </c>
      <c r="B4" s="19" t="s">
        <v>30</v>
      </c>
      <c r="C4" s="19" t="s">
        <v>72</v>
      </c>
      <c r="E4" s="19" t="s">
        <v>73</v>
      </c>
      <c r="F4" s="19" t="s">
        <v>30</v>
      </c>
      <c r="G4" s="19" t="s">
        <v>74</v>
      </c>
    </row>
    <row r="5" spans="1:7">
      <c r="A5" s="41" t="s">
        <v>75</v>
      </c>
      <c r="B5" s="41" t="s">
        <v>76</v>
      </c>
      <c r="C5" s="42">
        <v>0</v>
      </c>
      <c r="E5" s="41" t="s">
        <v>77</v>
      </c>
      <c r="F5" s="41" t="s">
        <v>78</v>
      </c>
      <c r="G5" s="42">
        <v>0</v>
      </c>
    </row>
    <row r="6" spans="1:7">
      <c r="A6" s="41" t="s">
        <v>79</v>
      </c>
      <c r="B6" s="41" t="s">
        <v>80</v>
      </c>
      <c r="C6" s="42">
        <v>-0.04</v>
      </c>
      <c r="E6" s="41" t="s">
        <v>81</v>
      </c>
      <c r="F6" s="41" t="s">
        <v>82</v>
      </c>
      <c r="G6" s="42">
        <v>0</v>
      </c>
    </row>
    <row r="7" spans="1:7">
      <c r="A7" s="41" t="s">
        <v>83</v>
      </c>
      <c r="B7" s="41" t="s">
        <v>84</v>
      </c>
      <c r="C7" s="42">
        <v>-0.05</v>
      </c>
      <c r="E7" s="41" t="s">
        <v>85</v>
      </c>
      <c r="F7" s="41" t="s">
        <v>86</v>
      </c>
      <c r="G7" s="42">
        <v>-0.07000000000000001</v>
      </c>
    </row>
    <row r="8" spans="1:7">
      <c r="A8" s="41" t="s">
        <v>87</v>
      </c>
      <c r="B8" s="41" t="s">
        <v>88</v>
      </c>
      <c r="C8" s="42">
        <v>-0.03</v>
      </c>
      <c r="E8" s="41" t="s">
        <v>89</v>
      </c>
      <c r="F8" s="41" t="s">
        <v>90</v>
      </c>
      <c r="G8" s="42">
        <v>0</v>
      </c>
    </row>
    <row r="9" spans="1:7">
      <c r="A9" s="41" t="s">
        <v>91</v>
      </c>
      <c r="B9" s="41" t="s">
        <v>92</v>
      </c>
      <c r="C9" s="42">
        <v>0</v>
      </c>
      <c r="E9" s="41" t="s">
        <v>93</v>
      </c>
      <c r="F9" s="41" t="s">
        <v>94</v>
      </c>
      <c r="G9" s="42">
        <v>-0.03</v>
      </c>
    </row>
    <row r="10" spans="1:7">
      <c r="A10" s="41" t="s">
        <v>95</v>
      </c>
      <c r="B10" s="41" t="s">
        <v>96</v>
      </c>
      <c r="C10" s="42">
        <v>-0.07000000000000001</v>
      </c>
      <c r="E10" s="41" t="s">
        <v>97</v>
      </c>
      <c r="F10" s="41" t="s">
        <v>98</v>
      </c>
      <c r="G10" s="42">
        <v>0.02</v>
      </c>
    </row>
    <row r="11" spans="1:7">
      <c r="A11" s="41" t="s">
        <v>99</v>
      </c>
      <c r="B11" s="41" t="s">
        <v>100</v>
      </c>
      <c r="C11" s="42">
        <v>-0.05</v>
      </c>
      <c r="E11" s="41" t="s">
        <v>101</v>
      </c>
      <c r="F11" s="41" t="s">
        <v>102</v>
      </c>
      <c r="G11" s="42">
        <v>-0.05</v>
      </c>
    </row>
    <row r="12" spans="1:7">
      <c r="A12" s="41"/>
      <c r="B12" s="41"/>
      <c r="C12" s="41"/>
      <c r="E12" s="41" t="s">
        <v>103</v>
      </c>
      <c r="F12" s="41" t="s">
        <v>104</v>
      </c>
      <c r="G12" s="42">
        <v>0</v>
      </c>
    </row>
    <row r="13" spans="1:7">
      <c r="A13" s="41"/>
      <c r="B13" s="41"/>
      <c r="C13" s="41"/>
      <c r="E13" s="41" t="s">
        <v>105</v>
      </c>
      <c r="F13" s="41" t="s">
        <v>106</v>
      </c>
      <c r="G13" s="42">
        <v>-0.05</v>
      </c>
    </row>
    <row r="14" spans="1:7">
      <c r="A14" s="41"/>
      <c r="B14" s="41"/>
      <c r="C14" s="41"/>
      <c r="E14" s="41"/>
      <c r="F14" s="41"/>
      <c r="G14" s="41"/>
    </row>
    <row r="15" spans="1:7">
      <c r="A15" s="41"/>
      <c r="B15" s="41"/>
      <c r="C15" s="41"/>
      <c r="E15" s="41"/>
      <c r="F15" s="41"/>
      <c r="G15" s="41"/>
    </row>
    <row r="16" spans="1:7">
      <c r="A16" s="41"/>
      <c r="B16" s="41"/>
      <c r="C16" s="41"/>
      <c r="E16" s="41"/>
      <c r="F16" s="41"/>
      <c r="G16" s="41"/>
    </row>
    <row r="17" spans="1:7">
      <c r="A17" s="41"/>
      <c r="B17" s="41"/>
      <c r="C17" s="41"/>
      <c r="E17" s="41"/>
      <c r="F17" s="41"/>
      <c r="G17" s="41"/>
    </row>
    <row r="18" spans="1:7">
      <c r="A18" s="41"/>
      <c r="B18" s="41"/>
      <c r="C18" s="41"/>
      <c r="E18" s="41"/>
      <c r="F18" s="41"/>
      <c r="G18" s="41"/>
    </row>
    <row r="19" spans="1:7">
      <c r="A19" s="41"/>
      <c r="B19" s="41"/>
      <c r="C19" s="41"/>
      <c r="E19" s="41"/>
      <c r="F19" s="41"/>
      <c r="G19" s="41"/>
    </row>
    <row r="20" spans="1:7">
      <c r="A20" s="41"/>
      <c r="B20" s="41"/>
      <c r="C20" s="41"/>
      <c r="E20" s="41"/>
      <c r="F20" s="41"/>
      <c r="G20" s="41"/>
    </row>
    <row r="21" spans="1:7">
      <c r="A21" s="41"/>
      <c r="B21" s="41"/>
      <c r="C21" s="41"/>
      <c r="E21" s="41"/>
      <c r="F21" s="41"/>
      <c r="G21" s="41"/>
    </row>
    <row r="22" spans="1:7">
      <c r="A22" s="41"/>
      <c r="B22" s="41"/>
      <c r="C22" s="41"/>
      <c r="E22" s="41"/>
      <c r="F22" s="41"/>
      <c r="G22" s="41"/>
    </row>
    <row r="23" spans="1:7">
      <c r="A23" s="41"/>
      <c r="B23" s="41"/>
      <c r="C23" s="41"/>
      <c r="E23" s="41"/>
      <c r="F23" s="41"/>
      <c r="G23" s="41"/>
    </row>
    <row r="24" spans="1:7">
      <c r="A24" s="41"/>
      <c r="B24" s="41"/>
      <c r="C24" s="41"/>
      <c r="E24" s="41"/>
      <c r="F24" s="41"/>
      <c r="G24" s="4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sheetPr>
    <tabColor rgb="FF5B9BD5"/>
  </sheetPr>
  <dimension ref="A1:I70"/>
  <sheetViews>
    <sheetView workbookViewId="0"/>
  </sheetViews>
  <sheetFormatPr defaultRowHeight="15"/>
  <cols>
    <col min="1" max="1" width="28.7109375" customWidth="1"/>
    <col min="2" max="2" width="52.7109375" customWidth="1"/>
    <col min="3" max="3" width="11.7109375" customWidth="1"/>
    <col min="4" max="8" width="12.7109375" customWidth="1"/>
    <col min="9" max="9" width="40.7109375" customWidth="1"/>
  </cols>
  <sheetData>
    <row r="1" spans="1:9">
      <c r="A1" s="12" t="s">
        <v>467</v>
      </c>
    </row>
    <row r="2" spans="1:9">
      <c r="A2" s="2" t="s">
        <v>468</v>
      </c>
    </row>
    <row r="4" spans="1:9">
      <c r="A4" s="13" t="s">
        <v>469</v>
      </c>
    </row>
    <row r="5" spans="1:9">
      <c r="A5" s="19" t="s">
        <v>18</v>
      </c>
      <c r="B5" s="19" t="s">
        <v>470</v>
      </c>
      <c r="C5" s="19" t="s">
        <v>471</v>
      </c>
      <c r="D5" s="19" t="s">
        <v>472</v>
      </c>
      <c r="E5" s="19" t="s">
        <v>473</v>
      </c>
      <c r="F5" s="19" t="s">
        <v>474</v>
      </c>
      <c r="G5" s="19" t="s">
        <v>475</v>
      </c>
      <c r="H5" s="19" t="s">
        <v>476</v>
      </c>
      <c r="I5" s="19" t="s">
        <v>477</v>
      </c>
    </row>
    <row r="6" spans="1:9">
      <c r="A6" s="41" t="s">
        <v>478</v>
      </c>
      <c r="B6" s="41" t="s">
        <v>479</v>
      </c>
      <c r="C6" s="41" t="s">
        <v>480</v>
      </c>
      <c r="D6" s="41" t="s">
        <v>41</v>
      </c>
      <c r="E6" s="41" t="s">
        <v>41</v>
      </c>
      <c r="F6" s="41" t="s">
        <v>41</v>
      </c>
      <c r="G6" s="41" t="s">
        <v>36</v>
      </c>
      <c r="H6" s="41" t="s">
        <v>36</v>
      </c>
      <c r="I6" s="41" t="s">
        <v>481</v>
      </c>
    </row>
    <row r="7" spans="1:9">
      <c r="A7" s="41" t="s">
        <v>482</v>
      </c>
      <c r="B7" s="41" t="s">
        <v>483</v>
      </c>
      <c r="C7" s="41" t="s">
        <v>484</v>
      </c>
      <c r="D7" s="41" t="s">
        <v>41</v>
      </c>
      <c r="E7" s="41" t="s">
        <v>41</v>
      </c>
      <c r="F7" s="41" t="s">
        <v>41</v>
      </c>
      <c r="G7" s="41" t="s">
        <v>41</v>
      </c>
      <c r="H7" s="41" t="s">
        <v>36</v>
      </c>
      <c r="I7" s="41" t="s">
        <v>485</v>
      </c>
    </row>
    <row r="8" spans="1:9">
      <c r="A8" s="41" t="s">
        <v>486</v>
      </c>
      <c r="B8" s="41" t="s">
        <v>487</v>
      </c>
      <c r="C8" s="41" t="s">
        <v>145</v>
      </c>
      <c r="D8" s="41" t="s">
        <v>41</v>
      </c>
      <c r="E8" s="41" t="s">
        <v>36</v>
      </c>
      <c r="F8" s="41" t="s">
        <v>41</v>
      </c>
      <c r="G8" s="41" t="s">
        <v>41</v>
      </c>
      <c r="H8" s="41" t="s">
        <v>36</v>
      </c>
      <c r="I8" s="41" t="s">
        <v>488</v>
      </c>
    </row>
    <row r="9" spans="1:9">
      <c r="A9" s="41" t="s">
        <v>489</v>
      </c>
      <c r="B9" s="41" t="s">
        <v>490</v>
      </c>
      <c r="C9" s="41" t="s">
        <v>145</v>
      </c>
      <c r="D9" s="41" t="s">
        <v>36</v>
      </c>
      <c r="E9" s="41" t="s">
        <v>41</v>
      </c>
      <c r="F9" s="41" t="s">
        <v>41</v>
      </c>
      <c r="G9" s="41" t="s">
        <v>41</v>
      </c>
      <c r="H9" s="41" t="s">
        <v>36</v>
      </c>
      <c r="I9" s="41" t="s">
        <v>491</v>
      </c>
    </row>
    <row r="10" spans="1:9">
      <c r="A10" s="41" t="s">
        <v>492</v>
      </c>
      <c r="B10" s="41" t="s">
        <v>493</v>
      </c>
      <c r="C10" s="41" t="s">
        <v>145</v>
      </c>
      <c r="D10" s="41" t="s">
        <v>41</v>
      </c>
      <c r="E10" s="41" t="s">
        <v>36</v>
      </c>
      <c r="F10" s="41" t="s">
        <v>41</v>
      </c>
      <c r="G10" s="41" t="s">
        <v>36</v>
      </c>
      <c r="H10" s="41" t="s">
        <v>36</v>
      </c>
      <c r="I10" s="41" t="s">
        <v>494</v>
      </c>
    </row>
    <row r="11" spans="1:9">
      <c r="A11" s="41" t="s">
        <v>495</v>
      </c>
      <c r="B11" s="41" t="s">
        <v>496</v>
      </c>
      <c r="C11" s="41" t="s">
        <v>145</v>
      </c>
      <c r="D11" s="41" t="s">
        <v>41</v>
      </c>
      <c r="E11" s="41" t="s">
        <v>41</v>
      </c>
      <c r="F11" s="41" t="s">
        <v>41</v>
      </c>
      <c r="G11" s="41" t="s">
        <v>36</v>
      </c>
      <c r="H11" s="41" t="s">
        <v>41</v>
      </c>
      <c r="I11" s="41"/>
    </row>
    <row r="12" spans="1:9">
      <c r="A12" s="41" t="s">
        <v>497</v>
      </c>
      <c r="B12" s="41" t="s">
        <v>498</v>
      </c>
      <c r="C12" s="41" t="s">
        <v>145</v>
      </c>
      <c r="D12" s="41" t="s">
        <v>36</v>
      </c>
      <c r="E12" s="41" t="s">
        <v>41</v>
      </c>
      <c r="F12" s="41" t="s">
        <v>41</v>
      </c>
      <c r="G12" s="41" t="s">
        <v>36</v>
      </c>
      <c r="H12" s="41" t="s">
        <v>41</v>
      </c>
      <c r="I12" s="41" t="s">
        <v>499</v>
      </c>
    </row>
    <row r="13" spans="1:9">
      <c r="A13" s="41" t="s">
        <v>500</v>
      </c>
      <c r="B13" s="41" t="s">
        <v>501</v>
      </c>
      <c r="C13" s="41" t="s">
        <v>145</v>
      </c>
      <c r="D13" s="41" t="s">
        <v>41</v>
      </c>
      <c r="E13" s="41" t="s">
        <v>41</v>
      </c>
      <c r="F13" s="41" t="s">
        <v>41</v>
      </c>
      <c r="G13" s="41" t="s">
        <v>36</v>
      </c>
      <c r="H13" s="41" t="s">
        <v>41</v>
      </c>
      <c r="I13" s="41"/>
    </row>
    <row r="14" spans="1:9">
      <c r="A14" s="41" t="s">
        <v>502</v>
      </c>
      <c r="B14" s="41" t="s">
        <v>503</v>
      </c>
      <c r="C14" s="41" t="s">
        <v>145</v>
      </c>
      <c r="D14" s="41" t="s">
        <v>41</v>
      </c>
      <c r="E14" s="41" t="s">
        <v>41</v>
      </c>
      <c r="F14" s="41" t="s">
        <v>41</v>
      </c>
      <c r="G14" s="41" t="s">
        <v>36</v>
      </c>
      <c r="H14" s="41" t="s">
        <v>36</v>
      </c>
      <c r="I14" s="41"/>
    </row>
    <row r="15" spans="1:9">
      <c r="A15" s="41"/>
      <c r="B15" s="41"/>
      <c r="C15" s="41"/>
      <c r="D15" s="41"/>
      <c r="E15" s="41"/>
      <c r="F15" s="41"/>
      <c r="G15" s="41"/>
      <c r="H15" s="41"/>
      <c r="I15" s="41"/>
    </row>
    <row r="16" spans="1:9">
      <c r="A16" s="41"/>
      <c r="B16" s="41"/>
      <c r="C16" s="41"/>
      <c r="D16" s="41"/>
      <c r="E16" s="41"/>
      <c r="F16" s="41"/>
      <c r="G16" s="41"/>
      <c r="H16" s="41"/>
      <c r="I16" s="41"/>
    </row>
    <row r="17" spans="1:9">
      <c r="A17" s="41"/>
      <c r="B17" s="41"/>
      <c r="C17" s="41"/>
      <c r="D17" s="41"/>
      <c r="E17" s="41"/>
      <c r="F17" s="41"/>
      <c r="G17" s="41"/>
      <c r="H17" s="41"/>
      <c r="I17" s="41"/>
    </row>
    <row r="18" spans="1:9">
      <c r="A18" s="41"/>
      <c r="B18" s="41"/>
      <c r="C18" s="41"/>
      <c r="D18" s="41"/>
      <c r="E18" s="41"/>
      <c r="F18" s="41"/>
      <c r="G18" s="41"/>
      <c r="H18" s="41"/>
      <c r="I18" s="41"/>
    </row>
    <row r="19" spans="1:9">
      <c r="A19" s="41"/>
      <c r="B19" s="41"/>
      <c r="C19" s="41"/>
      <c r="D19" s="41"/>
      <c r="E19" s="41"/>
      <c r="F19" s="41"/>
      <c r="G19" s="41"/>
      <c r="H19" s="41"/>
      <c r="I19" s="41"/>
    </row>
    <row r="20" spans="1:9">
      <c r="A20" s="41"/>
      <c r="B20" s="41"/>
      <c r="C20" s="41"/>
      <c r="D20" s="41"/>
      <c r="E20" s="41"/>
      <c r="F20" s="41"/>
      <c r="G20" s="41"/>
      <c r="H20" s="41"/>
      <c r="I20" s="41"/>
    </row>
    <row r="21" spans="1:9">
      <c r="A21" s="41"/>
      <c r="B21" s="41"/>
      <c r="C21" s="41"/>
      <c r="D21" s="41"/>
      <c r="E21" s="41"/>
      <c r="F21" s="41"/>
      <c r="G21" s="41"/>
      <c r="H21" s="41"/>
      <c r="I21" s="41"/>
    </row>
    <row r="22" spans="1:9">
      <c r="A22" s="41"/>
      <c r="B22" s="41"/>
      <c r="C22" s="41"/>
      <c r="D22" s="41"/>
      <c r="E22" s="41"/>
      <c r="F22" s="41"/>
      <c r="G22" s="41"/>
      <c r="H22" s="41"/>
      <c r="I22" s="41"/>
    </row>
    <row r="23" spans="1:9">
      <c r="A23" s="41"/>
      <c r="B23" s="41"/>
      <c r="C23" s="41"/>
      <c r="D23" s="41"/>
      <c r="E23" s="41"/>
      <c r="F23" s="41"/>
      <c r="G23" s="41"/>
      <c r="H23" s="41"/>
      <c r="I23" s="41"/>
    </row>
    <row r="24" spans="1:9">
      <c r="A24" s="41"/>
      <c r="B24" s="41"/>
      <c r="C24" s="41"/>
      <c r="D24" s="41"/>
      <c r="E24" s="41"/>
      <c r="F24" s="41"/>
      <c r="G24" s="41"/>
      <c r="H24" s="41"/>
      <c r="I24" s="41"/>
    </row>
    <row r="25" spans="1:9">
      <c r="A25" s="41"/>
      <c r="B25" s="41"/>
      <c r="C25" s="41"/>
      <c r="D25" s="41"/>
      <c r="E25" s="41"/>
      <c r="F25" s="41"/>
      <c r="G25" s="41"/>
      <c r="H25" s="41"/>
      <c r="I25" s="41"/>
    </row>
    <row r="26" spans="1:9">
      <c r="A26" s="41"/>
      <c r="B26" s="41"/>
      <c r="C26" s="41"/>
      <c r="D26" s="41"/>
      <c r="E26" s="41"/>
      <c r="F26" s="41"/>
      <c r="G26" s="41"/>
      <c r="H26" s="41"/>
      <c r="I26" s="41"/>
    </row>
    <row r="27" spans="1:9">
      <c r="A27" s="41"/>
      <c r="B27" s="41"/>
      <c r="C27" s="41"/>
      <c r="D27" s="41"/>
      <c r="E27" s="41"/>
      <c r="F27" s="41"/>
      <c r="G27" s="41"/>
      <c r="H27" s="41"/>
      <c r="I27" s="41"/>
    </row>
    <row r="28" spans="1:9">
      <c r="A28" s="41"/>
      <c r="B28" s="41"/>
      <c r="C28" s="41"/>
      <c r="D28" s="41"/>
      <c r="E28" s="41"/>
      <c r="F28" s="41"/>
      <c r="G28" s="41"/>
      <c r="H28" s="41"/>
      <c r="I28" s="41"/>
    </row>
    <row r="29" spans="1:9">
      <c r="A29" s="41"/>
      <c r="B29" s="41"/>
      <c r="C29" s="41"/>
      <c r="D29" s="41"/>
      <c r="E29" s="41"/>
      <c r="F29" s="41"/>
      <c r="G29" s="41"/>
      <c r="H29" s="41"/>
      <c r="I29" s="41"/>
    </row>
    <row r="32" spans="1:9">
      <c r="A32" s="13" t="s">
        <v>504</v>
      </c>
    </row>
    <row r="33" spans="1:3">
      <c r="A33" s="19" t="s">
        <v>18</v>
      </c>
      <c r="B33" s="19" t="s">
        <v>30</v>
      </c>
      <c r="C33" s="19" t="s">
        <v>505</v>
      </c>
    </row>
    <row r="34" spans="1:3">
      <c r="A34" s="41" t="s">
        <v>506</v>
      </c>
      <c r="B34" s="41" t="s">
        <v>507</v>
      </c>
      <c r="C34" s="42">
        <v>1</v>
      </c>
    </row>
    <row r="35" spans="1:3">
      <c r="A35" s="41" t="s">
        <v>508</v>
      </c>
      <c r="B35" s="41" t="s">
        <v>509</v>
      </c>
      <c r="C35" s="42">
        <v>1</v>
      </c>
    </row>
    <row r="36" spans="1:3">
      <c r="A36" s="41" t="s">
        <v>510</v>
      </c>
      <c r="B36" s="41" t="s">
        <v>511</v>
      </c>
      <c r="C36" s="42">
        <v>0.8</v>
      </c>
    </row>
    <row r="37" spans="1:3">
      <c r="A37" s="41" t="s">
        <v>512</v>
      </c>
      <c r="B37" s="41" t="s">
        <v>513</v>
      </c>
      <c r="C37" s="42">
        <v>0.4</v>
      </c>
    </row>
    <row r="38" spans="1:3">
      <c r="A38" s="41" t="s">
        <v>514</v>
      </c>
      <c r="B38" s="41" t="s">
        <v>515</v>
      </c>
      <c r="C38" s="42">
        <v>0</v>
      </c>
    </row>
    <row r="39" spans="1:3">
      <c r="A39" s="41" t="s">
        <v>516</v>
      </c>
      <c r="B39" s="41" t="s">
        <v>517</v>
      </c>
      <c r="C39" s="42">
        <v>0.2</v>
      </c>
    </row>
    <row r="40" spans="1:3">
      <c r="A40" s="41"/>
      <c r="B40" s="41"/>
      <c r="C40" s="41"/>
    </row>
    <row r="41" spans="1:3">
      <c r="A41" s="41"/>
      <c r="B41" s="41"/>
      <c r="C41" s="41"/>
    </row>
    <row r="42" spans="1:3">
      <c r="A42" s="41"/>
      <c r="B42" s="41"/>
      <c r="C42" s="41"/>
    </row>
    <row r="43" spans="1:3">
      <c r="A43" s="41"/>
      <c r="B43" s="41"/>
      <c r="C43" s="41"/>
    </row>
    <row r="44" spans="1:3">
      <c r="A44" s="41"/>
      <c r="B44" s="41"/>
      <c r="C44" s="41"/>
    </row>
    <row r="45" spans="1:3">
      <c r="A45" s="41"/>
      <c r="B45" s="41"/>
      <c r="C45" s="41"/>
    </row>
    <row r="48" spans="1:3">
      <c r="A48" s="13" t="s">
        <v>518</v>
      </c>
    </row>
    <row r="49" spans="1:3">
      <c r="A49" s="19" t="s">
        <v>18</v>
      </c>
      <c r="B49" s="19" t="s">
        <v>30</v>
      </c>
      <c r="C49" s="19" t="s">
        <v>519</v>
      </c>
    </row>
    <row r="50" spans="1:3">
      <c r="A50" s="41" t="s">
        <v>520</v>
      </c>
      <c r="B50" s="41" t="s">
        <v>521</v>
      </c>
      <c r="C50" s="41" t="s">
        <v>36</v>
      </c>
    </row>
    <row r="51" spans="1:3">
      <c r="A51" s="41" t="s">
        <v>522</v>
      </c>
      <c r="B51" s="41" t="s">
        <v>523</v>
      </c>
      <c r="C51" s="41" t="s">
        <v>41</v>
      </c>
    </row>
    <row r="52" spans="1:3">
      <c r="A52" s="41" t="s">
        <v>524</v>
      </c>
      <c r="B52" s="41" t="s">
        <v>525</v>
      </c>
      <c r="C52" s="41" t="s">
        <v>41</v>
      </c>
    </row>
    <row r="53" spans="1:3">
      <c r="A53" s="41" t="s">
        <v>526</v>
      </c>
      <c r="B53" s="41" t="s">
        <v>527</v>
      </c>
      <c r="C53" s="41" t="s">
        <v>36</v>
      </c>
    </row>
    <row r="54" spans="1:3">
      <c r="A54" s="41" t="s">
        <v>528</v>
      </c>
      <c r="B54" s="41" t="s">
        <v>529</v>
      </c>
      <c r="C54" s="41" t="s">
        <v>36</v>
      </c>
    </row>
    <row r="56" spans="1:3">
      <c r="A56" s="13" t="s">
        <v>539</v>
      </c>
    </row>
    <row r="57" spans="1:3">
      <c r="A57" s="41" t="s">
        <v>540</v>
      </c>
      <c r="B57" s="41" t="s">
        <v>541</v>
      </c>
    </row>
    <row r="58" spans="1:3">
      <c r="A58" s="41" t="s">
        <v>542</v>
      </c>
      <c r="B58" s="41" t="s">
        <v>543</v>
      </c>
    </row>
    <row r="59" spans="1:3">
      <c r="A59" s="41" t="s">
        <v>544</v>
      </c>
      <c r="B59" s="41" t="s">
        <v>545</v>
      </c>
    </row>
    <row r="60" spans="1:3">
      <c r="A60" s="41" t="s">
        <v>546</v>
      </c>
      <c r="B60" s="41" t="s">
        <v>547</v>
      </c>
    </row>
    <row r="64" spans="1:3">
      <c r="A64" s="13" t="s">
        <v>530</v>
      </c>
    </row>
    <row r="65" spans="1:3">
      <c r="A65" s="19" t="s">
        <v>531</v>
      </c>
      <c r="B65" s="19" t="s">
        <v>18</v>
      </c>
      <c r="C65" s="19" t="s">
        <v>30</v>
      </c>
    </row>
    <row r="66" spans="1:3">
      <c r="A66" s="41" t="s">
        <v>454</v>
      </c>
      <c r="B66" s="41" t="s">
        <v>532</v>
      </c>
      <c r="C66" s="41" t="s">
        <v>36</v>
      </c>
    </row>
    <row r="67" spans="1:3">
      <c r="A67" s="41" t="s">
        <v>454</v>
      </c>
      <c r="B67" s="41" t="s">
        <v>455</v>
      </c>
      <c r="C67" s="41" t="s">
        <v>533</v>
      </c>
    </row>
    <row r="68" spans="1:3">
      <c r="A68" s="41" t="s">
        <v>434</v>
      </c>
      <c r="B68" s="41" t="s">
        <v>534</v>
      </c>
      <c r="C68" s="41" t="s">
        <v>535</v>
      </c>
    </row>
    <row r="69" spans="1:3">
      <c r="A69" s="41" t="s">
        <v>434</v>
      </c>
      <c r="B69" s="41" t="s">
        <v>536</v>
      </c>
      <c r="C69" s="41" t="s">
        <v>537</v>
      </c>
    </row>
    <row r="70" spans="1:3">
      <c r="A70" s="41" t="s">
        <v>434</v>
      </c>
      <c r="B70" s="41" t="s">
        <v>436</v>
      </c>
      <c r="C70" s="41" t="s">
        <v>538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74</vt:i4>
      </vt:variant>
    </vt:vector>
  </HeadingPairs>
  <TitlesOfParts>
    <vt:vector size="91" baseType="lpstr">
      <vt:lpstr>Accueil</vt:lpstr>
      <vt:lpstr>Saisie</vt:lpstr>
      <vt:lpstr>Fiche</vt:lpstr>
      <vt:lpstr>Calculateurs</vt:lpstr>
      <vt:lpstr>Portefeuille</vt:lpstr>
      <vt:lpstr>Stress</vt:lpstr>
      <vt:lpstr>Resultat</vt:lpstr>
      <vt:lpstr>Historique</vt:lpstr>
      <vt:lpstr>Aide</vt:lpstr>
      <vt:lpstr>Tests</vt:lpstr>
      <vt:lpstr>Validation</vt:lpstr>
      <vt:lpstr>P_General</vt:lpstr>
      <vt:lpstr>P_Criteres</vt:lpstr>
      <vt:lpstr>P_Baremes</vt:lpstr>
      <vt:lpstr>P_Alertes</vt:lpstr>
      <vt:lpstr>P_Ajustements</vt:lpstr>
      <vt:lpstr>P_Referentiels</vt:lpstr>
      <vt:lpstr>Calc_Actif</vt:lpstr>
      <vt:lpstr>Calc_Arret</vt:lpstr>
      <vt:lpstr>Calc_Auth</vt:lpstr>
      <vt:lpstr>Calc_Concours</vt:lpstr>
      <vt:lpstr>Calc_Cout</vt:lpstr>
      <vt:lpstr>Calc_Desist</vt:lpstr>
      <vt:lpstr>Calc_Equip</vt:lpstr>
      <vt:lpstr>Calc_EquipParam</vt:lpstr>
      <vt:lpstr>Calc_Lots</vt:lpstr>
      <vt:lpstr>Calc_Mainlevee</vt:lpstr>
      <vt:lpstr>Calc_Mixte</vt:lpstr>
      <vt:lpstr>Calc_Plan</vt:lpstr>
      <vt:lpstr>Calc_PlanDate</vt:lpstr>
      <vt:lpstr>Calc_Tirage</vt:lpstr>
      <vt:lpstr>Calc_Valeur</vt:lpstr>
      <vt:lpstr>In_Calc</vt:lpstr>
      <vt:lpstr>In_Cles</vt:lpstr>
      <vt:lpstr>In_Etat</vt:lpstr>
      <vt:lpstr>In_Retenue</vt:lpstr>
      <vt:lpstr>In_Saisie</vt:lpstr>
      <vt:lpstr>P_Classes</vt:lpstr>
      <vt:lpstr>P_ClsCodes</vt:lpstr>
      <vt:lpstr>P_Date</vt:lpstr>
      <vt:lpstr>P_DecTbl</vt:lpstr>
      <vt:lpstr>P_DomCodes</vt:lpstr>
      <vt:lpstr>P_DomNoms</vt:lpstr>
      <vt:lpstr>P_DomPoids</vt:lpstr>
      <vt:lpstr>P_DPD1</vt:lpstr>
      <vt:lpstr>P_DPD2</vt:lpstr>
      <vt:lpstr>P_DPD3</vt:lpstr>
      <vt:lpstr>P_ExtraKey</vt:lpstr>
      <vt:lpstr>P_GO</vt:lpstr>
      <vt:lpstr>P_GWC</vt:lpstr>
      <vt:lpstr>P_PDa</vt:lpstr>
      <vt:lpstr>P_PDb</vt:lpstr>
      <vt:lpstr>P_PhaseCodes</vt:lpstr>
      <vt:lpstr>P_PhaseHdr</vt:lpstr>
      <vt:lpstr>P_PhaseTbl</vt:lpstr>
      <vt:lpstr>P_Scale</vt:lpstr>
      <vt:lpstr>P_SegCodes</vt:lpstr>
      <vt:lpstr>P_SegLabels</vt:lpstr>
      <vt:lpstr>P_SegLabelsAll</vt:lpstr>
      <vt:lpstr>P_SegTbl</vt:lpstr>
      <vt:lpstr>P_Version</vt:lpstr>
      <vt:lpstr>P_WATCH</vt:lpstr>
      <vt:lpstr>P_ZoneCodes</vt:lpstr>
      <vt:lpstr>P_ZoneLabels</vt:lpstr>
      <vt:lpstr>P_ZoneLabelsAll</vt:lpstr>
      <vt:lpstr>P_ZoneTbl</vt:lpstr>
      <vt:lpstr>Fiche!Print_Area</vt:lpstr>
      <vt:lpstr>R_AuthCodes</vt:lpstr>
      <vt:lpstr>R_AuthTbl</vt:lpstr>
      <vt:lpstr>R_FinCodes</vt:lpstr>
      <vt:lpstr>R_FinTbl</vt:lpstr>
      <vt:lpstr>R_ModCode</vt:lpstr>
      <vt:lpstr>R_ModKey</vt:lpstr>
      <vt:lpstr>R_ModLab</vt:lpstr>
      <vt:lpstr>Res_Adj</vt:lpstr>
      <vt:lpstr>Res_Alertes</vt:lpstr>
      <vt:lpstr>Res_AlertesLib</vt:lpstr>
      <vt:lpstr>Res_ClasseInt</vt:lpstr>
      <vt:lpstr>Res_Comite</vt:lpstr>
      <vt:lpstr>Res_Conditions</vt:lpstr>
      <vt:lpstr>Res_Decision</vt:lpstr>
      <vt:lpstr>Res_DomCodes</vt:lpstr>
      <vt:lpstr>Res_DomScores</vt:lpstr>
      <vt:lpstr>Res_EcoScore</vt:lpstr>
      <vt:lpstr>Res_GuarScore</vt:lpstr>
      <vt:lpstr>Res_Incomplet</vt:lpstr>
      <vt:lpstr>Res_Malus</vt:lpstr>
      <vt:lpstr>Res_Manquantes</vt:lpstr>
      <vt:lpstr>Res_PD</vt:lpstr>
      <vt:lpstr>Res_ScoreEco</vt:lpstr>
      <vt:lpstr>Res_ScoreFinal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2026-10-05T06:05:50Z</dcterms:created>
  <dcterms:modified xsi:type="dcterms:W3CDTF">2026-10-05T06:05:50Z</dcterms:modified>
</cp:coreProperties>
</file>